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k0\Downloads\"/>
    </mc:Choice>
  </mc:AlternateContent>
  <xr:revisionPtr revIDLastSave="0" documentId="13_ncr:1_{75C83DA5-5576-442D-8CA9-2A4ECB6F3927}" xr6:coauthVersionLast="47" xr6:coauthVersionMax="47" xr10:uidLastSave="{00000000-0000-0000-0000-000000000000}"/>
  <bookViews>
    <workbookView xWindow="-120" yWindow="-120" windowWidth="29040" windowHeight="15720" firstSheet="8" activeTab="14" xr2:uid="{00000000-000D-0000-FFFF-FFFF00000000}"/>
  </bookViews>
  <sheets>
    <sheet name="713股價" sheetId="12" state="hidden" r:id="rId1"/>
    <sheet name="56股價" sheetId="11" state="hidden" r:id="rId2"/>
    <sheet name="927股價" sheetId="10" state="hidden" r:id="rId3"/>
    <sheet name="919股價" sheetId="9" state="hidden" r:id="rId4"/>
    <sheet name="878股價" sheetId="8" state="hidden" r:id="rId5"/>
    <sheet name="687B股價" sheetId="14" state="hidden" r:id="rId6"/>
    <sheet name="50股價" sheetId="27" state="hidden" r:id="rId7"/>
    <sheet name="2330股價" sheetId="29" state="hidden" r:id="rId8"/>
    <sheet name="年度股利總表" sheetId="22" r:id="rId9"/>
    <sheet name="00878" sheetId="1" r:id="rId10"/>
    <sheet name="00927" sheetId="2" r:id="rId11"/>
    <sheet name="00919" sheetId="5" r:id="rId12"/>
    <sheet name="0056" sheetId="3" r:id="rId13"/>
    <sheet name="00713" sheetId="19" r:id="rId14"/>
    <sheet name="00687B美債" sheetId="21" r:id="rId15"/>
    <sheet name="0050" sheetId="23" r:id="rId16"/>
    <sheet name="2330台積電" sheetId="24" r:id="rId17"/>
    <sheet name="6285股價" sheetId="30" state="hidden" r:id="rId18"/>
    <sheet name="6285啟碁" sheetId="25" r:id="rId19"/>
  </sheets>
  <definedNames>
    <definedName name="外部資料_1" localSheetId="7" hidden="1">'2330股價'!$A$1:$B$13</definedName>
    <definedName name="外部資料_1" localSheetId="6" hidden="1">'50股價'!$A$1:$B$13</definedName>
    <definedName name="外部資料_1" localSheetId="17" hidden="1">'6285股價'!$A$1:$B$13</definedName>
    <definedName name="外部資料_1" localSheetId="5" hidden="1">'687B股價'!$A$1:$B$13</definedName>
    <definedName name="外部資料_1" localSheetId="4" hidden="1">'878股價'!$A$1:$B$13</definedName>
    <definedName name="外部資料_2" localSheetId="3" hidden="1">'919股價'!$A$1:$B$13</definedName>
    <definedName name="外部資料_3" localSheetId="2" hidden="1">'927股價'!$A$1:$B$13</definedName>
    <definedName name="外部資料_4" localSheetId="1" hidden="1">'56股價'!$A$1:$B$13</definedName>
    <definedName name="外部資料_5" localSheetId="0" hidden="1">'713股價'!$A$1:$B$13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資料表 1  3_f05750fa-deed-425a-83c7-63e30331f5bf" name="資料表 1  3" connection="查詢 - 資料表 1 (3)"/>
          <x15:modelTable id="資料表 2_a2e324e0-8846-4349-8a67-53f1e78f77f0" name="資料表 2" connection="查詢 - 資料表 2"/>
          <x15:modelTable id="資料表 3  2_bb97c08c-799f-41cb-8b41-913a41b4cd78" name="資料表 3  2" connection="查詢 - 資料表 3 (2)"/>
          <x15:modelTable id="資料表 4  4_5ba43816-f5f4-4cf4-aafc-64dbc606f520" name="資料表 4  4" connection="查詢 - 資料表 4 (4)"/>
          <x15:modelTable id="資料表 5  3_e288c2ae-4388-47e1-aed6-a40534412696" name="資料表 5  3" connection="查詢 - 資料表 5 (3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22" l="1"/>
  <c r="C5" i="22"/>
  <c r="B5" i="22"/>
  <c r="E4" i="22"/>
  <c r="D4" i="22"/>
  <c r="E3" i="22"/>
  <c r="C4" i="22"/>
  <c r="D3" i="22"/>
  <c r="C42" i="22"/>
  <c r="B42" i="22"/>
  <c r="C39" i="22"/>
  <c r="B39" i="22"/>
  <c r="D36" i="22"/>
  <c r="D33" i="22"/>
  <c r="C33" i="22"/>
  <c r="D30" i="22"/>
  <c r="C30" i="22"/>
  <c r="E27" i="22"/>
  <c r="D27" i="22"/>
  <c r="E24" i="22"/>
  <c r="D24" i="22"/>
  <c r="E21" i="22"/>
  <c r="D21" i="22"/>
  <c r="C3" i="25"/>
  <c r="C3" i="24"/>
  <c r="C3" i="23"/>
  <c r="C3" i="21"/>
  <c r="F3" i="25"/>
  <c r="E3" i="25"/>
  <c r="D3" i="25"/>
  <c r="F3" i="24"/>
  <c r="A3" i="24" s="1"/>
  <c r="E3" i="24"/>
  <c r="B3" i="24" s="1"/>
  <c r="D3" i="24"/>
  <c r="F3" i="23"/>
  <c r="E3" i="23"/>
  <c r="D3" i="23"/>
  <c r="C36" i="22"/>
  <c r="C24" i="22"/>
  <c r="A3" i="25" l="1"/>
  <c r="B3" i="25"/>
  <c r="G4" i="25" s="1"/>
  <c r="G3" i="25" s="1"/>
  <c r="B3" i="23"/>
  <c r="G4" i="23" s="1"/>
  <c r="G3" i="23" s="1"/>
  <c r="A3" i="23"/>
  <c r="G4" i="24"/>
  <c r="G3" i="24" s="1"/>
  <c r="B36" i="22"/>
  <c r="B33" i="22"/>
  <c r="B30" i="22"/>
  <c r="C27" i="22"/>
  <c r="B27" i="22"/>
  <c r="B24" i="22"/>
  <c r="C21" i="22"/>
  <c r="B21" i="22"/>
  <c r="B4" i="22"/>
  <c r="C3" i="22"/>
  <c r="B3" i="22"/>
  <c r="F3" i="21"/>
  <c r="E3" i="21"/>
  <c r="D3" i="21"/>
  <c r="B3" i="21" l="1"/>
  <c r="A3" i="21"/>
  <c r="G4" i="21"/>
  <c r="G3" i="21" s="1"/>
  <c r="F3" i="19" l="1"/>
  <c r="E3" i="19"/>
  <c r="D3" i="19"/>
  <c r="C3" i="19"/>
  <c r="B3" i="19" l="1"/>
  <c r="G4" i="19" s="1"/>
  <c r="G3" i="19" s="1"/>
  <c r="A3" i="19"/>
  <c r="C3" i="3"/>
  <c r="C3" i="2"/>
  <c r="C3" i="5"/>
  <c r="C3" i="1"/>
  <c r="F3" i="3"/>
  <c r="E3" i="3"/>
  <c r="D3" i="3"/>
  <c r="F3" i="2"/>
  <c r="E3" i="2"/>
  <c r="D3" i="2"/>
  <c r="F3" i="5"/>
  <c r="E3" i="5"/>
  <c r="D3" i="5"/>
  <c r="F3" i="1"/>
  <c r="E3" i="1"/>
  <c r="D3" i="1"/>
  <c r="B3" i="2" l="1"/>
  <c r="A3" i="1"/>
  <c r="B3" i="3"/>
  <c r="G4" i="3" s="1"/>
  <c r="G3" i="3" s="1"/>
  <c r="G4" i="2"/>
  <c r="G3" i="2" s="1"/>
  <c r="A3" i="3"/>
  <c r="A3" i="2"/>
  <c r="B3" i="5"/>
  <c r="G4" i="5" s="1"/>
  <c r="G3" i="5" s="1"/>
  <c r="A3" i="5"/>
  <c r="B3" i="1"/>
  <c r="G4" i="1" s="1"/>
  <c r="G3" i="1" s="1"/>
  <c r="N29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ECC5CC-D5E9-4D5D-842D-588BCB753BAE}" keepAlive="1" name="ThisWorkbookDataModel" description="資料模型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0000000}" keepAlive="1" name="查詢 - 資料表 1" description="與活頁簿中 '資料表 1' 查詢的連接。" type="5" refreshedVersion="8" background="1" saveData="1">
    <dbPr connection="Provider=Microsoft.Mashup.OleDb.1;Data Source=$Workbook$;Location=&quot;資料表 1&quot;;Extended Properties=&quot;&quot;" command="SELECT * FROM [資料表 1]"/>
  </connection>
  <connection id="3" xr16:uid="{00000000-0015-0000-FFFF-FFFF01000000}" keepAlive="1" name="查詢 - 資料表 1 (2)" description="與活頁簿中 '資料表 1 (2)' 查詢的連接。" type="5" refreshedVersion="8" background="1" saveData="1">
    <dbPr connection="Provider=Microsoft.Mashup.OleDb.1;Data Source=$Workbook$;Location=&quot;資料表 1 (2)&quot;;Extended Properties=&quot;&quot;" command="SELECT * FROM [資料表 1 (2)]"/>
  </connection>
  <connection id="4" xr16:uid="{867AF6AF-6016-4904-9BA3-5B72FA55A7CC}" name="查詢 - 資料表 1 (3)" description="與活頁簿中 '資料表 1 (3)' 查詢的連接。" type="100" refreshedVersion="8" minRefreshableVersion="5">
    <extLst>
      <ext xmlns:x15="http://schemas.microsoft.com/office/spreadsheetml/2010/11/main" uri="{DE250136-89BD-433C-8126-D09CA5730AF9}">
        <x15:connection id="ea2f404d-0262-4ff0-91bd-01908ce6808f"/>
      </ext>
    </extLst>
  </connection>
  <connection id="5" xr16:uid="{44BC68A5-C119-4324-BA16-9832D3F2332D}" name="查詢 - 資料表 2" description="與活頁簿中 '資料表 2' 查詢的連接。" type="100" refreshedVersion="8" minRefreshableVersion="5">
    <extLst>
      <ext xmlns:x15="http://schemas.microsoft.com/office/spreadsheetml/2010/11/main" uri="{DE250136-89BD-433C-8126-D09CA5730AF9}">
        <x15:connection id="1bb0fd30-c1d6-4a78-b400-98490f5ff0b8"/>
      </ext>
    </extLst>
  </connection>
  <connection id="6" xr16:uid="{00000000-0015-0000-FFFF-FFFF02000000}" keepAlive="1" name="查詢 - 資料表 3" description="與活頁簿中 '資料表 3' 查詢的連接。" type="5" refreshedVersion="8" background="1" saveData="1">
    <dbPr connection="Provider=Microsoft.Mashup.OleDb.1;Data Source=$Workbook$;Location=&quot;資料表 3&quot;;Extended Properties=&quot;&quot;" command="SELECT * FROM [資料表 3]"/>
  </connection>
  <connection id="7" xr16:uid="{21CE5D69-2B26-49AD-BBC9-853A90AE9E01}" name="查詢 - 資料表 3 (2)" description="與活頁簿中 '資料表 3 (2)' 查詢的連接。" type="100" refreshedVersion="8" minRefreshableVersion="5">
    <extLst>
      <ext xmlns:x15="http://schemas.microsoft.com/office/spreadsheetml/2010/11/main" uri="{DE250136-89BD-433C-8126-D09CA5730AF9}">
        <x15:connection id="4cd0b53d-a6e0-4fad-9601-86ffa34039f2"/>
      </ext>
    </extLst>
  </connection>
  <connection id="8" xr16:uid="{EB36940F-A2CE-4502-9D33-E4A2C3AC504B}" keepAlive="1" name="查詢 - 資料表 3 (3)" description="與活頁簿中 '資料表 3 (3)' 查詢的連接。" type="5" refreshedVersion="8" background="1" saveData="1">
    <dbPr connection="Provider=Microsoft.Mashup.OleDb.1;Data Source=$Workbook$;Location=&quot;資料表 3 (3)&quot;;Extended Properties=&quot;&quot;" command="SELECT * FROM [資料表 3 (3)]"/>
  </connection>
  <connection id="9" xr16:uid="{C63A0D43-F2B3-4454-9598-F6F26DC409AD}" keepAlive="1" name="查詢 - 資料表 3 (4)" description="與活頁簿中 '資料表 3 (4)' 查詢的連接。" type="5" refreshedVersion="8" background="1" saveData="1">
    <dbPr connection="Provider=Microsoft.Mashup.OleDb.1;Data Source=$Workbook$;Location=&quot;資料表 3 (4)&quot;;Extended Properties=&quot;&quot;" command="SELECT * FROM [資料表 3 (4)]"/>
  </connection>
  <connection id="10" xr16:uid="{00000000-0015-0000-FFFF-FFFF03000000}" keepAlive="1" name="查詢 - 資料表 4" description="與活頁簿中 '資料表 4' 查詢的連接。" type="5" refreshedVersion="8" background="1" saveData="1">
    <dbPr connection="Provider=Microsoft.Mashup.OleDb.1;Data Source=$Workbook$;Location=&quot;資料表 4&quot;;Extended Properties=&quot;&quot;" command="SELECT * FROM [資料表 4]"/>
  </connection>
  <connection id="11" xr16:uid="{00000000-0015-0000-FFFF-FFFF04000000}" keepAlive="1" name="查詢 - 資料表 4 (2)" description="與活頁簿中 '資料表 4 (2)' 查詢的連接。" type="5" refreshedVersion="8" background="1" saveData="1">
    <dbPr connection="Provider=Microsoft.Mashup.OleDb.1;Data Source=$Workbook$;Location=&quot;資料表 4 (2)&quot;;Extended Properties=&quot;&quot;" command="SELECT * FROM [資料表 4 (2)]"/>
  </connection>
  <connection id="12" xr16:uid="{1B754624-9D64-4B55-ABCD-F86FBFDA8476}" keepAlive="1" name="查詢 - 資料表 4 (3)" description="與活頁簿中 '資料表 4 (3)' 查詢的連接。" type="5" refreshedVersion="8" background="1" saveData="1">
    <dbPr connection="Provider=Microsoft.Mashup.OleDb.1;Data Source=$Workbook$;Location=&quot;資料表 4 (3)&quot;;Extended Properties=&quot;&quot;" command="SELECT * FROM [資料表 4 (3)]"/>
  </connection>
  <connection id="13" xr16:uid="{9F61EC16-2421-48B5-9598-3D82FE1DB967}" name="查詢 - 資料表 4 (4)" description="與活頁簿中 '資料表 4 (4)' 查詢的連接。" type="100" refreshedVersion="8" minRefreshableVersion="5">
    <extLst>
      <ext xmlns:x15="http://schemas.microsoft.com/office/spreadsheetml/2010/11/main" uri="{DE250136-89BD-433C-8126-D09CA5730AF9}">
        <x15:connection id="fd26d65d-2e79-49cb-ad85-e1efeaac54fc"/>
      </ext>
    </extLst>
  </connection>
  <connection id="14" xr16:uid="{DC81CE6D-7C8B-467B-BCBC-2B1CD48A8194}" keepAlive="1" name="查詢 - 資料表 4 (5)" description="與活頁簿中 '資料表 4 (5)' 查詢的連接。" type="5" refreshedVersion="8" background="1" saveData="1">
    <dbPr connection="Provider=Microsoft.Mashup.OleDb.1;Data Source=$Workbook$;Location=&quot;資料表 4 (5)&quot;;Extended Properties=&quot;&quot;" command="SELECT * FROM [資料表 4 (5)]"/>
  </connection>
  <connection id="15" xr16:uid="{00000000-0015-0000-FFFF-FFFF05000000}" keepAlive="1" name="查詢 - 資料表 5" description="與活頁簿中 '資料表 5' 查詢的連接。" type="5" refreshedVersion="8" background="1" saveData="1">
    <dbPr connection="Provider=Microsoft.Mashup.OleDb.1;Data Source=$Workbook$;Location=&quot;資料表 5&quot;;Extended Properties=&quot;&quot;" command="SELECT * FROM [資料表 5]"/>
  </connection>
  <connection id="16" xr16:uid="{00000000-0015-0000-FFFF-FFFF06000000}" keepAlive="1" name="查詢 - 資料表 5 (2)" description="與活頁簿中 '資料表 5 (2)' 查詢的連接。" type="5" refreshedVersion="8" background="1" saveData="1">
    <dbPr connection="Provider=Microsoft.Mashup.OleDb.1;Data Source=$Workbook$;Location=&quot;資料表 5 (2)&quot;;Extended Properties=&quot;&quot;" command="SELECT * FROM [資料表 5 (2)]"/>
  </connection>
  <connection id="17" xr16:uid="{5E56965E-198B-4E4E-8C24-63BE6B24E0F1}" name="查詢 - 資料表 5 (3)" description="與活頁簿中 '資料表 5 (3)' 查詢的連接。" type="100" refreshedVersion="8" minRefreshableVersion="5">
    <extLst>
      <ext xmlns:x15="http://schemas.microsoft.com/office/spreadsheetml/2010/11/main" uri="{DE250136-89BD-433C-8126-D09CA5730AF9}">
        <x15:connection id="7f8bfea1-c688-4f38-a2ee-579e86572ef2"/>
      </ext>
    </extLst>
  </connection>
</connections>
</file>

<file path=xl/sharedStrings.xml><?xml version="1.0" encoding="utf-8"?>
<sst xmlns="http://schemas.openxmlformats.org/spreadsheetml/2006/main" count="281" uniqueCount="55">
  <si>
    <t>實際成本</t>
    <phoneticPr fontId="1" type="noConversion"/>
  </si>
  <si>
    <t>帳面成本</t>
    <phoneticPr fontId="1" type="noConversion"/>
  </si>
  <si>
    <t>目前市價</t>
    <phoneticPr fontId="1" type="noConversion"/>
  </si>
  <si>
    <t>總股數</t>
    <phoneticPr fontId="1" type="noConversion"/>
  </si>
  <si>
    <t>總成本</t>
    <phoneticPr fontId="1" type="noConversion"/>
  </si>
  <si>
    <t>股利</t>
    <phoneticPr fontId="1" type="noConversion"/>
  </si>
  <si>
    <t>報酬率(含息)</t>
    <phoneticPr fontId="1" type="noConversion"/>
  </si>
  <si>
    <t>存股統計表格</t>
    <phoneticPr fontId="1" type="noConversion"/>
  </si>
  <si>
    <t>交易筆數</t>
    <phoneticPr fontId="1" type="noConversion"/>
  </si>
  <si>
    <t>購買日期</t>
    <phoneticPr fontId="1" type="noConversion"/>
  </si>
  <si>
    <t>購入價格</t>
    <phoneticPr fontId="1" type="noConversion"/>
  </si>
  <si>
    <t>股數</t>
    <phoneticPr fontId="1" type="noConversion"/>
  </si>
  <si>
    <t>持有成本</t>
    <phoneticPr fontId="1" type="noConversion"/>
  </si>
  <si>
    <t>Column1</t>
  </si>
  <si>
    <t>Column2</t>
  </si>
  <si>
    <t>成交</t>
  </si>
  <si>
    <t>開盤</t>
  </si>
  <si>
    <t>最高</t>
  </si>
  <si>
    <t>最低</t>
  </si>
  <si>
    <t>均價</t>
  </si>
  <si>
    <t>成交金額(億)</t>
  </si>
  <si>
    <t>昨收</t>
  </si>
  <si>
    <t>漲跌幅</t>
  </si>
  <si>
    <t>漲跌</t>
  </si>
  <si>
    <t>總量</t>
  </si>
  <si>
    <t>昨量</t>
  </si>
  <si>
    <t>振幅</t>
  </si>
  <si>
    <t>存股統計表格</t>
    <phoneticPr fontId="1" type="noConversion"/>
  </si>
  <si>
    <t>報酬率(含息)</t>
    <phoneticPr fontId="1" type="noConversion"/>
  </si>
  <si>
    <t>交易筆數</t>
    <phoneticPr fontId="1" type="noConversion"/>
  </si>
  <si>
    <t>購買日期</t>
    <phoneticPr fontId="1" type="noConversion"/>
  </si>
  <si>
    <t>購入價格</t>
    <phoneticPr fontId="1" type="noConversion"/>
  </si>
  <si>
    <t>股數</t>
    <phoneticPr fontId="1" type="noConversion"/>
  </si>
  <si>
    <t>持有成本</t>
    <phoneticPr fontId="1" type="noConversion"/>
  </si>
  <si>
    <t>股利</t>
    <phoneticPr fontId="1" type="noConversion"/>
  </si>
  <si>
    <t>年度</t>
    <phoneticPr fontId="1" type="noConversion"/>
  </si>
  <si>
    <t>年度股利</t>
    <phoneticPr fontId="1" type="noConversion"/>
  </si>
  <si>
    <t>00878股利</t>
    <phoneticPr fontId="1" type="noConversion"/>
  </si>
  <si>
    <t>00919股利</t>
    <phoneticPr fontId="1" type="noConversion"/>
  </si>
  <si>
    <t>00927股利</t>
    <phoneticPr fontId="1" type="noConversion"/>
  </si>
  <si>
    <t>0056股利</t>
    <phoneticPr fontId="1" type="noConversion"/>
  </si>
  <si>
    <t>00713股利</t>
    <phoneticPr fontId="1" type="noConversion"/>
  </si>
  <si>
    <t>00687B股利</t>
    <phoneticPr fontId="1" type="noConversion"/>
  </si>
  <si>
    <t>00878(3,6,9,12)</t>
    <phoneticPr fontId="1" type="noConversion"/>
  </si>
  <si>
    <t>00919(1,4,7,10)</t>
    <phoneticPr fontId="1" type="noConversion"/>
  </si>
  <si>
    <t>00927(2,5,8,11)</t>
    <phoneticPr fontId="1" type="noConversion"/>
  </si>
  <si>
    <t>0056(2,5,8,11)</t>
    <phoneticPr fontId="1" type="noConversion"/>
  </si>
  <si>
    <t>00713(1,4,7,10)</t>
    <phoneticPr fontId="1" type="noConversion"/>
  </si>
  <si>
    <t>00687B(1,4,7,10)</t>
    <phoneticPr fontId="1" type="noConversion"/>
  </si>
  <si>
    <t>0050</t>
    <phoneticPr fontId="1" type="noConversion"/>
  </si>
  <si>
    <t>2330</t>
    <phoneticPr fontId="1" type="noConversion"/>
  </si>
  <si>
    <t>0050股利</t>
    <phoneticPr fontId="1" type="noConversion"/>
  </si>
  <si>
    <t>2330股利</t>
    <phoneticPr fontId="1" type="noConversion"/>
  </si>
  <si>
    <t>年度投入資本</t>
    <phoneticPr fontId="1" type="noConversion"/>
  </si>
  <si>
    <t>總投入資本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</si>
</sst>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$&quot;* #,##0_);_(&quot;$&quot;* \(#,##0\);_(&quot;$&quot;* &quot;-&quot;_);_(@_)"/>
    <numFmt numFmtId="177" formatCode="0.00_ "/>
    <numFmt numFmtId="178" formatCode="0_ "/>
    <numFmt numFmtId="179" formatCode="_-[$NT$-404]* #,##0.00_-;\-[$NT$-404]* #,##0.00_-;_-[$NT$-404]* &quot;-&quot;??_-;_-@_-"/>
    <numFmt numFmtId="180" formatCode="&quot;$&quot;#,##0"/>
    <numFmt numFmtId="181" formatCode="#,##0_ 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b/>
      <sz val="12"/>
      <color theme="0"/>
      <name val="新細明體"/>
      <family val="1"/>
      <scheme val="minor"/>
    </font>
    <font>
      <b/>
      <sz val="12"/>
      <color theme="5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scheme val="minor"/>
    </font>
    <font>
      <sz val="12"/>
      <color theme="0"/>
      <name val="新細明體"/>
      <family val="2"/>
      <charset val="136"/>
      <scheme val="minor"/>
    </font>
    <font>
      <b/>
      <sz val="12"/>
      <color theme="4" tint="0.79998168889431442"/>
      <name val="新細明體"/>
      <family val="1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9" fillId="10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10" fontId="5" fillId="6" borderId="1" xfId="0" applyNumberFormat="1" applyFont="1" applyFill="1" applyBorder="1">
      <alignment vertical="center"/>
    </xf>
    <xf numFmtId="178" fontId="5" fillId="6" borderId="1" xfId="0" applyNumberFormat="1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2" borderId="1" xfId="0" applyFont="1" applyFill="1" applyBorder="1">
      <alignment vertical="center"/>
    </xf>
    <xf numFmtId="176" fontId="5" fillId="6" borderId="1" xfId="0" applyNumberFormat="1" applyFont="1" applyFill="1" applyBorder="1">
      <alignment vertical="center"/>
    </xf>
    <xf numFmtId="0" fontId="7" fillId="7" borderId="1" xfId="0" applyFont="1" applyFill="1" applyBorder="1">
      <alignment vertical="center"/>
    </xf>
    <xf numFmtId="0" fontId="0" fillId="7" borderId="1" xfId="0" applyFill="1" applyBorder="1">
      <alignment vertical="center"/>
    </xf>
    <xf numFmtId="0" fontId="3" fillId="10" borderId="1" xfId="1" applyFont="1" applyBorder="1">
      <alignment vertical="center"/>
    </xf>
    <xf numFmtId="0" fontId="3" fillId="10" borderId="1" xfId="1" applyFont="1" applyBorder="1" applyAlignment="1">
      <alignment horizontal="center" vertical="center"/>
    </xf>
    <xf numFmtId="3" fontId="3" fillId="10" borderId="1" xfId="1" applyNumberFormat="1" applyFont="1" applyBorder="1">
      <alignment vertical="center"/>
    </xf>
    <xf numFmtId="180" fontId="9" fillId="10" borderId="1" xfId="1" applyNumberFormat="1" applyBorder="1">
      <alignment vertical="center"/>
    </xf>
    <xf numFmtId="0" fontId="2" fillId="11" borderId="1" xfId="0" applyFont="1" applyFill="1" applyBorder="1">
      <alignment vertical="center"/>
    </xf>
    <xf numFmtId="0" fontId="2" fillId="12" borderId="1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12" borderId="2" xfId="0" applyFont="1" applyFill="1" applyBorder="1">
      <alignment vertical="center"/>
    </xf>
    <xf numFmtId="0" fontId="2" fillId="12" borderId="3" xfId="0" applyFont="1" applyFill="1" applyBorder="1">
      <alignment vertical="center"/>
    </xf>
    <xf numFmtId="181" fontId="0" fillId="0" borderId="0" xfId="0" applyNumberFormat="1">
      <alignment vertical="center"/>
    </xf>
    <xf numFmtId="3" fontId="10" fillId="10" borderId="1" xfId="1" applyNumberFormat="1" applyFont="1" applyBorder="1" applyAlignment="1">
      <alignment horizontal="center" vertical="center"/>
    </xf>
    <xf numFmtId="0" fontId="2" fillId="12" borderId="4" xfId="0" applyFont="1" applyFill="1" applyBorder="1">
      <alignment vertical="center"/>
    </xf>
    <xf numFmtId="0" fontId="2" fillId="13" borderId="1" xfId="0" applyFont="1" applyFill="1" applyBorder="1">
      <alignment vertical="center"/>
    </xf>
    <xf numFmtId="0" fontId="2" fillId="13" borderId="2" xfId="0" applyFont="1" applyFill="1" applyBorder="1">
      <alignment vertical="center"/>
    </xf>
    <xf numFmtId="0" fontId="2" fillId="13" borderId="3" xfId="0" applyFont="1" applyFill="1" applyBorder="1">
      <alignment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181" fontId="3" fillId="10" borderId="1" xfId="1" applyNumberFormat="1" applyFont="1" applyBorder="1">
      <alignment vertical="center"/>
    </xf>
    <xf numFmtId="181" fontId="10" fillId="10" borderId="1" xfId="1" applyNumberFormat="1" applyFont="1" applyBorder="1" applyAlignment="1">
      <alignment horizontal="center" vertical="center"/>
    </xf>
    <xf numFmtId="181" fontId="3" fillId="10" borderId="1" xfId="1" applyNumberFormat="1" applyFont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2" fillId="8" borderId="1" xfId="0" applyFont="1" applyFill="1" applyBorder="1">
      <alignment vertical="center"/>
    </xf>
    <xf numFmtId="0" fontId="2" fillId="14" borderId="1" xfId="0" applyFont="1" applyFill="1" applyBorder="1">
      <alignment vertical="center"/>
    </xf>
    <xf numFmtId="0" fontId="2" fillId="14" borderId="2" xfId="0" applyFont="1" applyFill="1" applyBorder="1">
      <alignment vertical="center"/>
    </xf>
    <xf numFmtId="0" fontId="2" fillId="14" borderId="3" xfId="0" applyFont="1" applyFill="1" applyBorder="1">
      <alignment vertical="center"/>
    </xf>
    <xf numFmtId="0" fontId="0" fillId="14" borderId="1" xfId="0" applyFill="1" applyBorder="1">
      <alignment vertical="center"/>
    </xf>
    <xf numFmtId="0" fontId="0" fillId="0" borderId="0" xfId="0" applyNumberFormat="1">
      <alignment vertical="center"/>
    </xf>
    <xf numFmtId="0" fontId="9" fillId="10" borderId="1" xfId="1" applyNumberFormat="1" applyBorder="1">
      <alignment vertical="center"/>
    </xf>
    <xf numFmtId="0" fontId="2" fillId="8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 vertical="center"/>
    </xf>
    <xf numFmtId="0" fontId="2" fillId="6" borderId="1" xfId="0" applyFont="1" applyFill="1" applyBorder="1">
      <alignment vertical="center"/>
    </xf>
    <xf numFmtId="177" fontId="2" fillId="5" borderId="1" xfId="0" applyNumberFormat="1" applyFont="1" applyFill="1" applyBorder="1">
      <alignment vertical="center"/>
    </xf>
    <xf numFmtId="177" fontId="6" fillId="6" borderId="1" xfId="0" applyNumberFormat="1" applyFont="1" applyFill="1" applyBorder="1">
      <alignment vertical="center"/>
    </xf>
    <xf numFmtId="0" fontId="2" fillId="0" borderId="1" xfId="0" applyNumberFormat="1" applyFont="1" applyBorder="1">
      <alignment vertical="center"/>
    </xf>
    <xf numFmtId="0" fontId="2" fillId="12" borderId="1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77" fontId="2" fillId="6" borderId="1" xfId="0" applyNumberFormat="1" applyFont="1" applyFill="1" applyBorder="1">
      <alignment vertical="center"/>
    </xf>
    <xf numFmtId="0" fontId="2" fillId="6" borderId="1" xfId="0" applyNumberFormat="1" applyFont="1" applyFill="1" applyBorder="1">
      <alignment vertical="center"/>
    </xf>
    <xf numFmtId="49" fontId="3" fillId="9" borderId="1" xfId="0" applyNumberFormat="1" applyFont="1" applyFill="1" applyBorder="1" applyAlignment="1">
      <alignment horizontal="center" vertical="center"/>
    </xf>
    <xf numFmtId="49" fontId="4" fillId="9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1" xfId="0" applyNumberFormat="1" applyFont="1" applyFill="1" applyBorder="1">
      <alignment vertical="center"/>
    </xf>
    <xf numFmtId="0" fontId="0" fillId="7" borderId="1" xfId="0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3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14" borderId="2" xfId="0" applyFont="1" applyFill="1" applyBorder="1" applyAlignment="1">
      <alignment horizontal="center" vertical="center"/>
    </xf>
    <xf numFmtId="0" fontId="2" fillId="14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177" fontId="0" fillId="5" borderId="1" xfId="0" applyNumberFormat="1" applyFill="1" applyBorder="1">
      <alignment vertical="center"/>
    </xf>
    <xf numFmtId="0" fontId="2" fillId="8" borderId="1" xfId="0" applyFont="1" applyFill="1" applyBorder="1">
      <alignment vertical="center"/>
    </xf>
    <xf numFmtId="0" fontId="2" fillId="13" borderId="2" xfId="0" applyFont="1" applyFill="1" applyBorder="1">
      <alignment vertical="center"/>
    </xf>
    <xf numFmtId="0" fontId="2" fillId="13" borderId="3" xfId="0" applyFont="1" applyFill="1" applyBorder="1">
      <alignment vertical="center"/>
    </xf>
    <xf numFmtId="0" fontId="0" fillId="14" borderId="2" xfId="0" applyFill="1" applyBorder="1">
      <alignment vertical="center"/>
    </xf>
    <xf numFmtId="0" fontId="0" fillId="14" borderId="3" xfId="0" applyFill="1" applyBorder="1">
      <alignment vertical="center"/>
    </xf>
    <xf numFmtId="0" fontId="0" fillId="8" borderId="2" xfId="0" applyFill="1" applyBorder="1">
      <alignment vertical="center"/>
    </xf>
    <xf numFmtId="0" fontId="0" fillId="8" borderId="3" xfId="0" applyFill="1" applyBorder="1">
      <alignment vertical="center"/>
    </xf>
  </cellXfs>
  <cellStyles count="2">
    <cellStyle name="一般" xfId="0" builtinId="0"/>
    <cellStyle name="輔色5" xfId="1" builtinId="45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TW"/>
              <a:t>年度股利總和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年度股利總表!$B$2:$I$2</c:f>
              <c:numCache>
                <c:formatCode>General</c:formatCod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numCache>
            </c:numRef>
          </c:cat>
          <c:val>
            <c:numRef>
              <c:f>年度股利總表!$B$3:$E$3</c:f>
              <c:numCache>
                <c:formatCode>#,##0</c:formatCode>
                <c:ptCount val="4"/>
                <c:pt idx="0">
                  <c:v>46180</c:v>
                </c:pt>
                <c:pt idx="1">
                  <c:v>203741</c:v>
                </c:pt>
                <c:pt idx="2" formatCode="#,##0_ ">
                  <c:v>265336</c:v>
                </c:pt>
                <c:pt idx="3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35-4A6E-9974-DA66D5EC56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40686031"/>
        <c:axId val="240683151"/>
      </c:barChart>
      <c:catAx>
        <c:axId val="24068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0683151"/>
        <c:crosses val="autoZero"/>
        <c:auto val="1"/>
        <c:lblAlgn val="ctr"/>
        <c:lblOffset val="100"/>
        <c:noMultiLvlLbl val="0"/>
      </c:catAx>
      <c:valAx>
        <c:axId val="24068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4068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00878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年度股利總表!$B$20:$I$20</c:f>
              <c:strCach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年度股利總表!$B$20:$I$20</c:f>
              <c:numCache>
                <c:formatCode>General</c:formatCod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numCache>
            </c:numRef>
          </c:cat>
          <c:val>
            <c:numRef>
              <c:f>年度股利總表!$B$21:$I$21</c:f>
              <c:numCache>
                <c:formatCode>#,##0</c:formatCode>
                <c:ptCount val="8"/>
                <c:pt idx="0">
                  <c:v>4820</c:v>
                </c:pt>
                <c:pt idx="1">
                  <c:v>15874</c:v>
                </c:pt>
                <c:pt idx="2" formatCode="#,##0_ ">
                  <c:v>21576</c:v>
                </c:pt>
                <c:pt idx="3" formatCode="#,##0_ 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28-491C-B27E-EDA2E4B5F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6275327"/>
        <c:axId val="126270047"/>
      </c:barChart>
      <c:catAx>
        <c:axId val="12627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270047"/>
        <c:crosses val="autoZero"/>
        <c:auto val="1"/>
        <c:lblAlgn val="ctr"/>
        <c:lblOffset val="100"/>
        <c:noMultiLvlLbl val="0"/>
      </c:catAx>
      <c:valAx>
        <c:axId val="126270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275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00927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8.5826445607342566E-2"/>
          <c:y val="0.35346354432968607"/>
          <c:w val="0.88518804714628063"/>
          <c:h val="0.44568565292974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年度股利總表!$B$26:$I$26</c:f>
              <c:strCach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Lbl>
              <c:idx val="0"/>
              <c:layout>
                <c:manualLayout>
                  <c:x val="0"/>
                  <c:y val="1.5768483485018125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F02-452F-B472-A0827A4D191D}"/>
                </c:ext>
              </c:extLst>
            </c:dLbl>
            <c:dLbl>
              <c:idx val="1"/>
              <c:layout>
                <c:manualLayout>
                  <c:x val="4.1407867494823638E-3"/>
                  <c:y val="-1.74455465794048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F02-452F-B472-A0827A4D191D}"/>
                </c:ext>
              </c:extLst>
            </c:dLbl>
            <c:dLbl>
              <c:idx val="2"/>
              <c:layout>
                <c:manualLayout>
                  <c:x val="-2.0703933747411628E-3"/>
                  <c:y val="7.783345263660144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F02-452F-B472-A0827A4D19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年度股利總表!$B$26:$I$26</c:f>
              <c:numCache>
                <c:formatCode>General</c:formatCod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numCache>
            </c:numRef>
          </c:cat>
          <c:val>
            <c:numRef>
              <c:f>年度股利總表!$B$27:$I$27</c:f>
              <c:numCache>
                <c:formatCode>#,##0</c:formatCode>
                <c:ptCount val="8"/>
                <c:pt idx="0">
                  <c:v>19780</c:v>
                </c:pt>
                <c:pt idx="1">
                  <c:v>91120</c:v>
                </c:pt>
                <c:pt idx="2" formatCode="#,##0_ ">
                  <c:v>61320</c:v>
                </c:pt>
                <c:pt idx="3" formatCode="#,##0_ 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02-452F-B472-A0827A4D191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3292351"/>
        <c:axId val="113287071"/>
      </c:barChart>
      <c:catAx>
        <c:axId val="11329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3287071"/>
        <c:crosses val="autoZero"/>
        <c:auto val="1"/>
        <c:lblAlgn val="ctr"/>
        <c:lblOffset val="100"/>
        <c:noMultiLvlLbl val="0"/>
      </c:catAx>
      <c:valAx>
        <c:axId val="113287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329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00919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年度股利總表!$B$23:$I$23</c:f>
              <c:strCach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年度股利總表!$B$23:$I$23</c:f>
              <c:numCache>
                <c:formatCode>General</c:formatCode>
                <c:ptCount val="8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  <c:pt idx="4">
                  <c:v>2027</c:v>
                </c:pt>
                <c:pt idx="5">
                  <c:v>2028</c:v>
                </c:pt>
                <c:pt idx="6">
                  <c:v>2029</c:v>
                </c:pt>
                <c:pt idx="7">
                  <c:v>2030</c:v>
                </c:pt>
              </c:numCache>
            </c:numRef>
          </c:cat>
          <c:val>
            <c:numRef>
              <c:f>年度股利總表!$B$24:$I$24</c:f>
              <c:numCache>
                <c:formatCode>#,##0</c:formatCode>
                <c:ptCount val="8"/>
                <c:pt idx="0">
                  <c:v>21580</c:v>
                </c:pt>
                <c:pt idx="1">
                  <c:v>62721</c:v>
                </c:pt>
                <c:pt idx="2" formatCode="#,##0_ ">
                  <c:v>87160</c:v>
                </c:pt>
                <c:pt idx="3" formatCode="#,##0_ 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AE-4BD9-A27C-C08DA28D7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6663167"/>
        <c:axId val="366657887"/>
      </c:barChart>
      <c:catAx>
        <c:axId val="36666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57887"/>
        <c:crosses val="autoZero"/>
        <c:auto val="1"/>
        <c:lblAlgn val="ctr"/>
        <c:lblOffset val="100"/>
        <c:noMultiLvlLbl val="0"/>
      </c:catAx>
      <c:valAx>
        <c:axId val="36665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6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0056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年度股利總表!$B$29:$H$29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年度股利總表!$B$29:$H$29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年度股利總表!$B$30:$H$30</c:f>
              <c:numCache>
                <c:formatCode>#,##0_ </c:formatCode>
                <c:ptCount val="7"/>
                <c:pt idx="0" formatCode="#,##0">
                  <c:v>15430</c:v>
                </c:pt>
                <c:pt idx="1">
                  <c:v>46046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3-4B13-B03F-0F2050A682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6290207"/>
        <c:axId val="126283967"/>
      </c:barChart>
      <c:catAx>
        <c:axId val="12629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283967"/>
        <c:crosses val="autoZero"/>
        <c:auto val="1"/>
        <c:lblAlgn val="ctr"/>
        <c:lblOffset val="100"/>
        <c:noMultiLvlLbl val="0"/>
      </c:catAx>
      <c:valAx>
        <c:axId val="12628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29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00713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年度股利總表!$B$32:$H$32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年度股利總表!$B$32:$H$32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年度股利總表!$B$33:$H$33</c:f>
              <c:numCache>
                <c:formatCode>#,##0_ </c:formatCode>
                <c:ptCount val="7"/>
                <c:pt idx="0" formatCode="#,##0">
                  <c:v>2616</c:v>
                </c:pt>
                <c:pt idx="1">
                  <c:v>7919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1-4D6A-990A-E41D5544D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6271487"/>
        <c:axId val="126288287"/>
      </c:barChart>
      <c:catAx>
        <c:axId val="12627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288287"/>
        <c:crosses val="autoZero"/>
        <c:auto val="1"/>
        <c:lblAlgn val="ctr"/>
        <c:lblOffset val="100"/>
        <c:noMultiLvlLbl val="0"/>
      </c:catAx>
      <c:valAx>
        <c:axId val="126288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271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00687B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年度股利總表!$B$35:$H$35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年度股利總表!$B$35:$H$35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年度股利總表!$B$36:$H$36</c:f>
              <c:numCache>
                <c:formatCode>#,##0_ </c:formatCode>
                <c:ptCount val="7"/>
                <c:pt idx="0" formatCode="#,##0">
                  <c:v>15980</c:v>
                </c:pt>
                <c:pt idx="1">
                  <c:v>40160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6-4966-AC7E-74F00939A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6678527"/>
        <c:axId val="366677087"/>
      </c:barChart>
      <c:catAx>
        <c:axId val="3666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77087"/>
        <c:crosses val="autoZero"/>
        <c:auto val="1"/>
        <c:lblAlgn val="ctr"/>
        <c:lblOffset val="100"/>
        <c:noMultiLvlLbl val="0"/>
      </c:catAx>
      <c:valAx>
        <c:axId val="3666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7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zh-TW"/>
              <a:t>0050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年度股利總表!$B$38:$H$38</c:f>
              <c:strCach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年度股利總表!$B$38:$H$38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年度股利總表!$B$39:$H$39</c:f>
              <c:numCache>
                <c:formatCode>#,##0_ </c:formatCode>
                <c:ptCount val="7"/>
                <c:pt idx="0" formatCode="#,##0">
                  <c:v>215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23-4037-A55D-3B224BD93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6678527"/>
        <c:axId val="366677087"/>
      </c:barChart>
      <c:catAx>
        <c:axId val="3666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77087"/>
        <c:crosses val="autoZero"/>
        <c:auto val="1"/>
        <c:lblAlgn val="ctr"/>
        <c:lblOffset val="100"/>
        <c:noMultiLvlLbl val="0"/>
      </c:catAx>
      <c:valAx>
        <c:axId val="3666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7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zh-TW"/>
              <a:t>2330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年度股利總表!$B$41:$H$41</c:f>
              <c:strCach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年度股利總表!$B$41:$H$41</c:f>
              <c:numCache>
                <c:formatCode>General</c:formatCode>
                <c:ptCount val="7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</c:numCache>
            </c:numRef>
          </c:cat>
          <c:val>
            <c:numRef>
              <c:f>年度股利總表!$B$42:$H$42</c:f>
              <c:numCache>
                <c:formatCode>#,##0_ </c:formatCode>
                <c:ptCount val="7"/>
                <c:pt idx="0" formatCode="#,##0">
                  <c:v>940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B2-4E8D-8D0B-F3298F585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6678527"/>
        <c:axId val="366677087"/>
      </c:barChart>
      <c:catAx>
        <c:axId val="3666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77087"/>
        <c:crosses val="autoZero"/>
        <c:auto val="1"/>
        <c:lblAlgn val="ctr"/>
        <c:lblOffset val="100"/>
        <c:noMultiLvlLbl val="0"/>
      </c:catAx>
      <c:valAx>
        <c:axId val="3666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7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00687B</a:t>
            </a:r>
            <a:r>
              <a:rPr lang="zh-TW"/>
              <a:t>年度股利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年度股利總表!$B$35:$H$35</c:f>
              <c:strCach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年度股利總表!$B$35:$H$35</c:f>
              <c:numCache>
                <c:formatCode>General</c:formatCode>
                <c:ptCount val="7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  <c:pt idx="3">
                  <c:v>2027</c:v>
                </c:pt>
                <c:pt idx="4">
                  <c:v>2028</c:v>
                </c:pt>
                <c:pt idx="5">
                  <c:v>2029</c:v>
                </c:pt>
                <c:pt idx="6">
                  <c:v>2030</c:v>
                </c:pt>
              </c:numCache>
            </c:numRef>
          </c:cat>
          <c:val>
            <c:numRef>
              <c:f>年度股利總表!$B$36:$H$36</c:f>
              <c:numCache>
                <c:formatCode>#,##0_ </c:formatCode>
                <c:ptCount val="7"/>
                <c:pt idx="0" formatCode="#,##0">
                  <c:v>15980</c:v>
                </c:pt>
                <c:pt idx="1">
                  <c:v>40160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7-45C7-B04D-CA1354995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66678527"/>
        <c:axId val="366677087"/>
      </c:barChart>
      <c:catAx>
        <c:axId val="36667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77087"/>
        <c:crosses val="autoZero"/>
        <c:auto val="1"/>
        <c:lblAlgn val="ctr"/>
        <c:lblOffset val="100"/>
        <c:noMultiLvlLbl val="0"/>
      </c:catAx>
      <c:valAx>
        <c:axId val="36667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366678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5</xdr:row>
      <xdr:rowOff>9525</xdr:rowOff>
    </xdr:from>
    <xdr:to>
      <xdr:col>10</xdr:col>
      <xdr:colOff>95250</xdr:colOff>
      <xdr:row>17</xdr:row>
      <xdr:rowOff>120650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FAFBE7A-3F03-68C9-FC2E-B5FFF90F0C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6804</xdr:colOff>
      <xdr:row>0</xdr:row>
      <xdr:rowOff>9525</xdr:rowOff>
    </xdr:from>
    <xdr:to>
      <xdr:col>12</xdr:col>
      <xdr:colOff>133349</xdr:colOff>
      <xdr:row>7</xdr:row>
      <xdr:rowOff>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4B4FD50-52C1-48DD-A977-39BFDE8C4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0</xdr:row>
      <xdr:rowOff>1</xdr:rowOff>
    </xdr:from>
    <xdr:to>
      <xdr:col>15</xdr:col>
      <xdr:colOff>428625</xdr:colOff>
      <xdr:row>7</xdr:row>
      <xdr:rowOff>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C848375-4FFA-4C64-8FA7-576B3425D0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6349</xdr:colOff>
      <xdr:row>0</xdr:row>
      <xdr:rowOff>0</xdr:rowOff>
    </xdr:from>
    <xdr:to>
      <xdr:col>16</xdr:col>
      <xdr:colOff>333375</xdr:colOff>
      <xdr:row>7</xdr:row>
      <xdr:rowOff>9525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EAFD909D-77F2-4B89-AA68-2C68F45F82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1073604</xdr:colOff>
      <xdr:row>0</xdr:row>
      <xdr:rowOff>0</xdr:rowOff>
    </xdr:from>
    <xdr:to>
      <xdr:col>16</xdr:col>
      <xdr:colOff>180975</xdr:colOff>
      <xdr:row>6</xdr:row>
      <xdr:rowOff>200025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45E4274F-634E-4DE4-9DD9-05BFDA5457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</xdr:colOff>
      <xdr:row>0</xdr:row>
      <xdr:rowOff>6349</xdr:rowOff>
    </xdr:from>
    <xdr:to>
      <xdr:col>12</xdr:col>
      <xdr:colOff>28575</xdr:colOff>
      <xdr:row>6</xdr:row>
      <xdr:rowOff>200025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B8CF993D-6694-4E1F-B382-60AF4B56B7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0</xdr:rowOff>
    </xdr:from>
    <xdr:to>
      <xdr:col>14</xdr:col>
      <xdr:colOff>85725</xdr:colOff>
      <xdr:row>6</xdr:row>
      <xdr:rowOff>200025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A48A77F-35DD-4C1C-9CF7-B420DE414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0</xdr:rowOff>
    </xdr:from>
    <xdr:to>
      <xdr:col>14</xdr:col>
      <xdr:colOff>85725</xdr:colOff>
      <xdr:row>6</xdr:row>
      <xdr:rowOff>200025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84B0C4D3-BD6B-459F-8BDA-8D1894B8E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0</xdr:rowOff>
    </xdr:from>
    <xdr:to>
      <xdr:col>14</xdr:col>
      <xdr:colOff>85725</xdr:colOff>
      <xdr:row>6</xdr:row>
      <xdr:rowOff>200025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60D83561-0DD7-4007-AA21-9F96FD415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0</xdr:rowOff>
    </xdr:from>
    <xdr:to>
      <xdr:col>14</xdr:col>
      <xdr:colOff>85725</xdr:colOff>
      <xdr:row>6</xdr:row>
      <xdr:rowOff>200025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8F5DFBD-6E78-484A-800F-C24620DE9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5" connectionId="2" xr16:uid="{00000000-0016-0000-0000-000000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4" connectionId="6" xr16:uid="{00000000-0016-0000-0100-000001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16" xr16:uid="{00000000-0016-0000-0200-000002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2" connectionId="15" xr16:uid="{00000000-0016-0000-0300-000003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0" xr16:uid="{00000000-0016-0000-0400-000004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1" xr16:uid="{00000000-0016-0000-1200-00000600000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8" xr16:uid="{C1EB5B5C-9BB7-4FAA-82BA-E2C129986E54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4" xr16:uid="{1AB52040-EBEC-45F5-9924-408AF0C931AB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9" xr16:uid="{40777E0D-DD63-4F18-8A06-4B33A3FD1F6C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資料表_1" displayName="資料表_1" ref="A1:B13" tableType="queryTable" totalsRowShown="0">
  <autoFilter ref="A1:B13" xr:uid="{00000000-0009-0000-0100-000005000000}"/>
  <tableColumns count="2">
    <tableColumn id="1" xr3:uid="{00000000-0010-0000-0000-000001000000}" uniqueName="1" name="Column1" queryTableFieldId="1" dataDxfId="8"/>
    <tableColumn id="2" xr3:uid="{00000000-0010-0000-0000-000002000000}" uniqueName="2" name="Column2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資料表_3" displayName="資料表_3" ref="A1:B13" tableType="queryTable" totalsRowShown="0">
  <autoFilter ref="A1:B13" xr:uid="{00000000-0009-0000-0100-000004000000}"/>
  <tableColumns count="2">
    <tableColumn id="1" xr3:uid="{00000000-0010-0000-0100-000001000000}" uniqueName="1" name="Column1" queryTableFieldId="1" dataDxfId="7"/>
    <tableColumn id="2" xr3:uid="{00000000-0010-0000-0100-000002000000}" uniqueName="2" name="Column2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資料表_5__2" displayName="資料表_5__2" ref="A1:B13" tableType="queryTable" totalsRowShown="0">
  <autoFilter ref="A1:B13" xr:uid="{00000000-0009-0000-0100-000003000000}"/>
  <tableColumns count="2">
    <tableColumn id="1" xr3:uid="{00000000-0010-0000-0200-000001000000}" uniqueName="1" name="Column1" queryTableFieldId="1" dataDxfId="6"/>
    <tableColumn id="2" xr3:uid="{00000000-0010-0000-0200-000002000000}" uniqueName="2" name="Column2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資料表_5" displayName="資料表_5" ref="A1:B13" tableType="queryTable" totalsRowShown="0">
  <autoFilter ref="A1:B13" xr:uid="{00000000-0009-0000-0100-000002000000}"/>
  <tableColumns count="2">
    <tableColumn id="1" xr3:uid="{00000000-0010-0000-0300-000001000000}" uniqueName="1" name="Column1" queryTableFieldId="1" dataDxfId="5"/>
    <tableColumn id="2" xr3:uid="{00000000-0010-0000-0300-000002000000}" uniqueName="2" name="Column2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資料表_4" displayName="資料表_4" ref="A1:B13" tableType="queryTable" totalsRowShown="0">
  <autoFilter ref="A1:B13" xr:uid="{00000000-0009-0000-0100-000001000000}"/>
  <tableColumns count="2">
    <tableColumn id="1" xr3:uid="{00000000-0010-0000-0400-000001000000}" uniqueName="1" name="Column1" queryTableFieldId="1" dataDxfId="4"/>
    <tableColumn id="2" xr3:uid="{00000000-0010-0000-0400-000002000000}" uniqueName="2" name="Column2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資料表_4__2" displayName="資料表_4__2" ref="A1:B13" tableType="queryTable" totalsRowShown="0">
  <autoFilter ref="A1:B13" xr:uid="{00000000-0009-0000-0100-000007000000}"/>
  <tableColumns count="2">
    <tableColumn id="1" xr3:uid="{00000000-0010-0000-0600-000001000000}" uniqueName="1" name="Column1" queryTableFieldId="1" dataDxfId="3"/>
    <tableColumn id="2" xr3:uid="{00000000-0010-0000-0600-000002000000}" uniqueName="2" name="Column2" queryTableField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0C6FD8-CE35-4524-8F5E-A47461A48FB7}" name="資料表_3__3" displayName="資料表_3__3" ref="A1:B13" tableType="queryTable" totalsRowShown="0">
  <autoFilter ref="A1:B13" xr:uid="{E60C6FD8-CE35-4524-8F5E-A47461A48FB7}"/>
  <tableColumns count="2">
    <tableColumn id="1" xr3:uid="{65B73130-5AEF-4F53-A46B-EEA60E855ED5}" uniqueName="1" name="Column1" queryTableFieldId="1" dataDxfId="2"/>
    <tableColumn id="2" xr3:uid="{B1052B85-DDB4-44BE-92CC-2091A8C50CEF}" uniqueName="2" name="Column2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57A4FF-E649-4617-872E-EE36564C5E75}" name="資料表_4__5" displayName="資料表_4__5" ref="A1:B13" tableType="queryTable" totalsRowShown="0">
  <autoFilter ref="A1:B13" xr:uid="{A657A4FF-E649-4617-872E-EE36564C5E75}"/>
  <tableColumns count="2">
    <tableColumn id="1" xr3:uid="{39CD7BE5-2BC0-4A61-ACA6-12BFDB687803}" uniqueName="1" name="Column1" queryTableFieldId="1" dataDxfId="1"/>
    <tableColumn id="2" xr3:uid="{8E1ED456-11EF-4595-BBE5-D031790C8B52}" uniqueName="2" name="Column2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0C51D38-3C75-4B06-AC91-82D52DAD8F98}" name="資料表_3__4" displayName="資料表_3__4" ref="A1:B13" tableType="queryTable" totalsRowShown="0">
  <autoFilter ref="A1:B13" xr:uid="{70C51D38-3C75-4B06-AC91-82D52DAD8F98}"/>
  <tableColumns count="2">
    <tableColumn id="1" xr3:uid="{10BA88AD-4E43-46D7-AAAC-C3D59735A012}" uniqueName="1" name="Column1" queryTableFieldId="1" dataDxfId="0"/>
    <tableColumn id="2" xr3:uid="{894936FF-1985-4091-9567-5100CFE0EEC4}" uniqueName="2" name="Column2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sqref="A1:B13"/>
    </sheetView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54.75</v>
      </c>
    </row>
    <row r="3" spans="1:2" x14ac:dyDescent="0.25">
      <c r="A3" t="s">
        <v>16</v>
      </c>
      <c r="B3">
        <v>54.35</v>
      </c>
    </row>
    <row r="4" spans="1:2" x14ac:dyDescent="0.25">
      <c r="A4" t="s">
        <v>17</v>
      </c>
      <c r="B4">
        <v>54.8</v>
      </c>
    </row>
    <row r="5" spans="1:2" x14ac:dyDescent="0.25">
      <c r="A5" t="s">
        <v>18</v>
      </c>
      <c r="B5">
        <v>54.35</v>
      </c>
    </row>
    <row r="6" spans="1:2" x14ac:dyDescent="0.25">
      <c r="A6" t="s">
        <v>19</v>
      </c>
      <c r="B6">
        <v>54.6</v>
      </c>
    </row>
    <row r="7" spans="1:2" x14ac:dyDescent="0.25">
      <c r="A7" t="s">
        <v>20</v>
      </c>
      <c r="B7">
        <v>10.37</v>
      </c>
    </row>
    <row r="8" spans="1:2" x14ac:dyDescent="0.25">
      <c r="A8" t="s">
        <v>21</v>
      </c>
      <c r="B8">
        <v>54.3</v>
      </c>
    </row>
    <row r="9" spans="1:2" x14ac:dyDescent="0.25">
      <c r="A9" t="s">
        <v>22</v>
      </c>
      <c r="B9">
        <v>8.3000000000000001E-3</v>
      </c>
    </row>
    <row r="10" spans="1:2" x14ac:dyDescent="0.25">
      <c r="A10" t="s">
        <v>23</v>
      </c>
      <c r="B10">
        <v>0.45</v>
      </c>
    </row>
    <row r="11" spans="1:2" x14ac:dyDescent="0.25">
      <c r="A11" t="s">
        <v>24</v>
      </c>
      <c r="B11">
        <v>18997</v>
      </c>
    </row>
    <row r="12" spans="1:2" x14ac:dyDescent="0.25">
      <c r="A12" t="s">
        <v>25</v>
      </c>
      <c r="B12">
        <v>23057</v>
      </c>
    </row>
    <row r="13" spans="1:2" x14ac:dyDescent="0.25">
      <c r="A13" t="s">
        <v>26</v>
      </c>
      <c r="B13">
        <v>8.3000000000000001E-3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sqref="A1:B13"/>
    </sheetView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44.85</v>
      </c>
    </row>
    <row r="3" spans="1:2" x14ac:dyDescent="0.25">
      <c r="A3" t="s">
        <v>16</v>
      </c>
      <c r="B3">
        <v>44.7</v>
      </c>
    </row>
    <row r="4" spans="1:2" x14ac:dyDescent="0.25">
      <c r="A4" t="s">
        <v>17</v>
      </c>
      <c r="B4">
        <v>45.2</v>
      </c>
    </row>
    <row r="5" spans="1:2" x14ac:dyDescent="0.25">
      <c r="A5" t="s">
        <v>18</v>
      </c>
      <c r="B5">
        <v>44.29</v>
      </c>
    </row>
    <row r="6" spans="1:2" x14ac:dyDescent="0.25">
      <c r="A6" t="s">
        <v>19</v>
      </c>
      <c r="B6">
        <v>44.83</v>
      </c>
    </row>
    <row r="7" spans="1:2" x14ac:dyDescent="0.25">
      <c r="A7" t="s">
        <v>20</v>
      </c>
      <c r="B7">
        <v>43.22</v>
      </c>
    </row>
    <row r="8" spans="1:2" x14ac:dyDescent="0.25">
      <c r="A8" t="s">
        <v>21</v>
      </c>
      <c r="B8">
        <v>44.72</v>
      </c>
    </row>
    <row r="9" spans="1:2" x14ac:dyDescent="0.25">
      <c r="A9" t="s">
        <v>22</v>
      </c>
      <c r="B9">
        <v>2.8999999999999998E-3</v>
      </c>
    </row>
    <row r="10" spans="1:2" x14ac:dyDescent="0.25">
      <c r="A10" t="s">
        <v>23</v>
      </c>
      <c r="B10">
        <v>0.13</v>
      </c>
    </row>
    <row r="11" spans="1:2" x14ac:dyDescent="0.25">
      <c r="A11" t="s">
        <v>24</v>
      </c>
      <c r="B11">
        <v>96396</v>
      </c>
    </row>
    <row r="12" spans="1:2" x14ac:dyDescent="0.25">
      <c r="A12" t="s">
        <v>25</v>
      </c>
      <c r="B12">
        <v>73293</v>
      </c>
    </row>
    <row r="13" spans="1:2" x14ac:dyDescent="0.25">
      <c r="A13" t="s">
        <v>26</v>
      </c>
      <c r="B13">
        <v>2.0299999999999999E-2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selection sqref="A1:B13"/>
    </sheetView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34.729999999999997</v>
      </c>
    </row>
    <row r="3" spans="1:2" x14ac:dyDescent="0.25">
      <c r="A3" t="s">
        <v>16</v>
      </c>
      <c r="B3">
        <v>34.75</v>
      </c>
    </row>
    <row r="4" spans="1:2" x14ac:dyDescent="0.25">
      <c r="A4" t="s">
        <v>17</v>
      </c>
      <c r="B4">
        <v>35.299999999999997</v>
      </c>
    </row>
    <row r="5" spans="1:2" x14ac:dyDescent="0.25">
      <c r="A5" t="s">
        <v>18</v>
      </c>
      <c r="B5">
        <v>33.78</v>
      </c>
    </row>
    <row r="6" spans="1:2" x14ac:dyDescent="0.25">
      <c r="A6" t="s">
        <v>19</v>
      </c>
      <c r="B6">
        <v>34.729999999999997</v>
      </c>
    </row>
    <row r="7" spans="1:2" x14ac:dyDescent="0.25">
      <c r="A7" t="s">
        <v>20</v>
      </c>
      <c r="B7">
        <v>11.92</v>
      </c>
    </row>
    <row r="8" spans="1:2" x14ac:dyDescent="0.25">
      <c r="A8" t="s">
        <v>21</v>
      </c>
      <c r="B8">
        <v>34.78</v>
      </c>
    </row>
    <row r="9" spans="1:2" x14ac:dyDescent="0.25">
      <c r="A9" t="s">
        <v>22</v>
      </c>
      <c r="B9">
        <v>1.4E-3</v>
      </c>
    </row>
    <row r="10" spans="1:2" x14ac:dyDescent="0.25">
      <c r="A10" t="s">
        <v>23</v>
      </c>
      <c r="B10">
        <v>0.05</v>
      </c>
    </row>
    <row r="11" spans="1:2" x14ac:dyDescent="0.25">
      <c r="A11" t="s">
        <v>24</v>
      </c>
      <c r="B11">
        <v>34324</v>
      </c>
    </row>
    <row r="12" spans="1:2" x14ac:dyDescent="0.25">
      <c r="A12" t="s">
        <v>25</v>
      </c>
      <c r="B12">
        <v>24812</v>
      </c>
    </row>
    <row r="13" spans="1:2" x14ac:dyDescent="0.25">
      <c r="A13" t="s">
        <v>26</v>
      </c>
      <c r="B13">
        <v>4.3700000000000003E-2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selection sqref="A1:B13"/>
    </sheetView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25.47</v>
      </c>
    </row>
    <row r="3" spans="1:2" x14ac:dyDescent="0.25">
      <c r="A3" t="s">
        <v>16</v>
      </c>
      <c r="B3">
        <v>25.52</v>
      </c>
    </row>
    <row r="4" spans="1:2" x14ac:dyDescent="0.25">
      <c r="A4" t="s">
        <v>17</v>
      </c>
      <c r="B4">
        <v>25.72</v>
      </c>
    </row>
    <row r="5" spans="1:2" x14ac:dyDescent="0.25">
      <c r="A5" t="s">
        <v>18</v>
      </c>
      <c r="B5">
        <v>25.31</v>
      </c>
    </row>
    <row r="6" spans="1:2" x14ac:dyDescent="0.25">
      <c r="A6" t="s">
        <v>19</v>
      </c>
      <c r="B6">
        <v>25.52</v>
      </c>
    </row>
    <row r="7" spans="1:2" x14ac:dyDescent="0.25">
      <c r="A7" t="s">
        <v>20</v>
      </c>
      <c r="B7">
        <v>52.86</v>
      </c>
    </row>
    <row r="8" spans="1:2" x14ac:dyDescent="0.25">
      <c r="A8" t="s">
        <v>21</v>
      </c>
      <c r="B8">
        <v>25.43</v>
      </c>
    </row>
    <row r="9" spans="1:2" x14ac:dyDescent="0.25">
      <c r="A9" t="s">
        <v>22</v>
      </c>
      <c r="B9">
        <v>1.6000000000000001E-3</v>
      </c>
    </row>
    <row r="10" spans="1:2" x14ac:dyDescent="0.25">
      <c r="A10" t="s">
        <v>23</v>
      </c>
      <c r="B10">
        <v>0.04</v>
      </c>
    </row>
    <row r="11" spans="1:2" x14ac:dyDescent="0.25">
      <c r="A11" t="s">
        <v>24</v>
      </c>
      <c r="B11">
        <v>207114</v>
      </c>
    </row>
    <row r="12" spans="1:2" x14ac:dyDescent="0.25">
      <c r="A12" t="s">
        <v>25</v>
      </c>
      <c r="B12">
        <v>228218</v>
      </c>
    </row>
    <row r="13" spans="1:2" x14ac:dyDescent="0.25">
      <c r="A13" t="s">
        <v>26</v>
      </c>
      <c r="B13">
        <v>1.61E-2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>
      <selection sqref="A1:B13"/>
    </sheetView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27.82</v>
      </c>
    </row>
    <row r="3" spans="1:2" x14ac:dyDescent="0.25">
      <c r="A3" t="s">
        <v>16</v>
      </c>
      <c r="B3">
        <v>27.87</v>
      </c>
    </row>
    <row r="4" spans="1:2" x14ac:dyDescent="0.25">
      <c r="A4" t="s">
        <v>17</v>
      </c>
      <c r="B4">
        <v>28.13</v>
      </c>
    </row>
    <row r="5" spans="1:2" x14ac:dyDescent="0.25">
      <c r="A5" t="s">
        <v>18</v>
      </c>
      <c r="B5">
        <v>27.54</v>
      </c>
    </row>
    <row r="6" spans="1:2" x14ac:dyDescent="0.25">
      <c r="A6" t="s">
        <v>19</v>
      </c>
      <c r="B6">
        <v>27.87</v>
      </c>
    </row>
    <row r="7" spans="1:2" x14ac:dyDescent="0.25">
      <c r="A7" t="s">
        <v>20</v>
      </c>
      <c r="B7">
        <v>31.53</v>
      </c>
    </row>
    <row r="8" spans="1:2" x14ac:dyDescent="0.25">
      <c r="A8" t="s">
        <v>21</v>
      </c>
      <c r="B8">
        <v>27.89</v>
      </c>
    </row>
    <row r="9" spans="1:2" x14ac:dyDescent="0.25">
      <c r="A9" t="s">
        <v>22</v>
      </c>
      <c r="B9">
        <v>2.5000000000000001E-3</v>
      </c>
    </row>
    <row r="10" spans="1:2" x14ac:dyDescent="0.25">
      <c r="A10" t="s">
        <v>23</v>
      </c>
      <c r="B10">
        <v>7.0000000000000007E-2</v>
      </c>
    </row>
    <row r="11" spans="1:2" x14ac:dyDescent="0.25">
      <c r="A11" t="s">
        <v>24</v>
      </c>
      <c r="B11">
        <v>113116</v>
      </c>
    </row>
    <row r="12" spans="1:2" x14ac:dyDescent="0.25">
      <c r="A12" t="s">
        <v>25</v>
      </c>
      <c r="B12">
        <v>82699</v>
      </c>
    </row>
    <row r="13" spans="1:2" x14ac:dyDescent="0.25">
      <c r="A13" t="s">
        <v>26</v>
      </c>
      <c r="B13">
        <v>2.12E-2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13"/>
  <sheetViews>
    <sheetView workbookViewId="0">
      <selection sqref="A1:B13"/>
    </sheetView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t="s">
        <v>15</v>
      </c>
      <c r="B2">
        <v>27.78</v>
      </c>
    </row>
    <row r="3" spans="1:2" x14ac:dyDescent="0.25">
      <c r="A3" t="s">
        <v>16</v>
      </c>
      <c r="B3">
        <v>27.85</v>
      </c>
    </row>
    <row r="4" spans="1:2" x14ac:dyDescent="0.25">
      <c r="A4" t="s">
        <v>17</v>
      </c>
      <c r="B4">
        <v>27.86</v>
      </c>
    </row>
    <row r="5" spans="1:2" x14ac:dyDescent="0.25">
      <c r="A5" t="s">
        <v>18</v>
      </c>
      <c r="B5">
        <v>27.76</v>
      </c>
    </row>
    <row r="6" spans="1:2" x14ac:dyDescent="0.25">
      <c r="A6" t="s">
        <v>19</v>
      </c>
      <c r="B6">
        <v>27.79</v>
      </c>
    </row>
    <row r="7" spans="1:2" x14ac:dyDescent="0.25">
      <c r="A7" t="s">
        <v>20</v>
      </c>
      <c r="B7">
        <v>5.72</v>
      </c>
    </row>
    <row r="8" spans="1:2" x14ac:dyDescent="0.25">
      <c r="A8" t="s">
        <v>21</v>
      </c>
      <c r="B8">
        <v>27.87</v>
      </c>
    </row>
    <row r="9" spans="1:2" x14ac:dyDescent="0.25">
      <c r="A9" t="s">
        <v>22</v>
      </c>
      <c r="B9">
        <v>3.2000000000000002E-3</v>
      </c>
    </row>
    <row r="10" spans="1:2" x14ac:dyDescent="0.25">
      <c r="A10" t="s">
        <v>23</v>
      </c>
      <c r="B10">
        <v>0.09</v>
      </c>
    </row>
    <row r="11" spans="1:2" x14ac:dyDescent="0.25">
      <c r="A11" t="s">
        <v>24</v>
      </c>
      <c r="B11">
        <v>20588</v>
      </c>
    </row>
    <row r="12" spans="1:2" x14ac:dyDescent="0.25">
      <c r="A12" t="s">
        <v>25</v>
      </c>
      <c r="B12">
        <v>23642</v>
      </c>
    </row>
    <row r="13" spans="1:2" x14ac:dyDescent="0.25">
      <c r="A13" t="s">
        <v>26</v>
      </c>
      <c r="B13">
        <v>3.5999999999999999E-3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BA03-3336-466D-858D-97D19CCCC127}">
  <dimension ref="A1:B13"/>
  <sheetViews>
    <sheetView workbookViewId="0">
      <selection sqref="A1:B13"/>
    </sheetView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43" t="s">
        <v>15</v>
      </c>
      <c r="B2">
        <v>97</v>
      </c>
    </row>
    <row r="3" spans="1:2" x14ac:dyDescent="0.25">
      <c r="A3" s="43" t="s">
        <v>16</v>
      </c>
      <c r="B3">
        <v>97.35</v>
      </c>
    </row>
    <row r="4" spans="1:2" x14ac:dyDescent="0.25">
      <c r="A4" s="43" t="s">
        <v>17</v>
      </c>
      <c r="B4">
        <v>97.7</v>
      </c>
    </row>
    <row r="5" spans="1:2" x14ac:dyDescent="0.25">
      <c r="A5" s="43" t="s">
        <v>18</v>
      </c>
      <c r="B5">
        <v>95.85</v>
      </c>
    </row>
    <row r="6" spans="1:2" x14ac:dyDescent="0.25">
      <c r="A6" s="43" t="s">
        <v>19</v>
      </c>
      <c r="B6">
        <v>96.93</v>
      </c>
    </row>
    <row r="7" spans="1:2" x14ac:dyDescent="0.25">
      <c r="A7" s="43" t="s">
        <v>20</v>
      </c>
      <c r="B7">
        <v>113.77</v>
      </c>
    </row>
    <row r="8" spans="1:2" x14ac:dyDescent="0.25">
      <c r="A8" s="43" t="s">
        <v>21</v>
      </c>
      <c r="B8">
        <v>97.7</v>
      </c>
    </row>
    <row r="9" spans="1:2" x14ac:dyDescent="0.25">
      <c r="A9" s="43" t="s">
        <v>22</v>
      </c>
      <c r="B9">
        <v>7.1999999999999998E-3</v>
      </c>
    </row>
    <row r="10" spans="1:2" x14ac:dyDescent="0.25">
      <c r="A10" s="43" t="s">
        <v>23</v>
      </c>
      <c r="B10">
        <v>0.7</v>
      </c>
    </row>
    <row r="11" spans="1:2" x14ac:dyDescent="0.25">
      <c r="A11" s="43" t="s">
        <v>24</v>
      </c>
      <c r="B11">
        <v>117375</v>
      </c>
    </row>
    <row r="12" spans="1:2" x14ac:dyDescent="0.25">
      <c r="A12" s="43" t="s">
        <v>25</v>
      </c>
      <c r="B12">
        <v>110211</v>
      </c>
    </row>
    <row r="13" spans="1:2" x14ac:dyDescent="0.25">
      <c r="A13" s="43" t="s">
        <v>26</v>
      </c>
      <c r="B13">
        <v>1.89E-2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18D5-D0B7-4DD7-A6E1-2F4A7BB5A144}">
  <dimension ref="A1:B13"/>
  <sheetViews>
    <sheetView workbookViewId="0">
      <selection sqref="A1:B13"/>
    </sheetView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43" t="s">
        <v>15</v>
      </c>
      <c r="B2">
        <v>2290</v>
      </c>
    </row>
    <row r="3" spans="1:2" x14ac:dyDescent="0.25">
      <c r="A3" s="43" t="s">
        <v>16</v>
      </c>
      <c r="B3">
        <v>2300</v>
      </c>
    </row>
    <row r="4" spans="1:2" x14ac:dyDescent="0.25">
      <c r="A4" s="43" t="s">
        <v>17</v>
      </c>
      <c r="B4">
        <v>2310</v>
      </c>
    </row>
    <row r="5" spans="1:2" x14ac:dyDescent="0.25">
      <c r="A5" s="43" t="s">
        <v>18</v>
      </c>
      <c r="B5">
        <v>2265</v>
      </c>
    </row>
    <row r="6" spans="1:2" x14ac:dyDescent="0.25">
      <c r="A6" s="43" t="s">
        <v>19</v>
      </c>
      <c r="B6">
        <v>2292</v>
      </c>
    </row>
    <row r="7" spans="1:2" x14ac:dyDescent="0.25">
      <c r="A7" s="43" t="s">
        <v>20</v>
      </c>
      <c r="B7">
        <v>618.89</v>
      </c>
    </row>
    <row r="8" spans="1:2" x14ac:dyDescent="0.25">
      <c r="A8" s="43" t="s">
        <v>21</v>
      </c>
      <c r="B8">
        <v>2310</v>
      </c>
    </row>
    <row r="9" spans="1:2" x14ac:dyDescent="0.25">
      <c r="A9" s="43" t="s">
        <v>22</v>
      </c>
      <c r="B9">
        <v>8.6999999999999994E-3</v>
      </c>
    </row>
    <row r="10" spans="1:2" x14ac:dyDescent="0.25">
      <c r="A10" s="43" t="s">
        <v>23</v>
      </c>
      <c r="B10">
        <v>20</v>
      </c>
    </row>
    <row r="11" spans="1:2" x14ac:dyDescent="0.25">
      <c r="A11" s="43" t="s">
        <v>24</v>
      </c>
      <c r="B11">
        <v>26991</v>
      </c>
    </row>
    <row r="12" spans="1:2" x14ac:dyDescent="0.25">
      <c r="A12" s="43" t="s">
        <v>25</v>
      </c>
      <c r="B12">
        <v>34955</v>
      </c>
    </row>
    <row r="13" spans="1:2" x14ac:dyDescent="0.25">
      <c r="A13" s="43" t="s">
        <v>26</v>
      </c>
      <c r="B13">
        <v>1.95E-2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87D1-93FF-4136-A786-02688DF1AB69}">
  <dimension ref="A2:I42"/>
  <sheetViews>
    <sheetView workbookViewId="0">
      <selection activeCell="D5" sqref="D5"/>
    </sheetView>
  </sheetViews>
  <sheetFormatPr defaultRowHeight="16.5" x14ac:dyDescent="0.25"/>
  <cols>
    <col min="1" max="1" width="12.625" bestFit="1" customWidth="1"/>
    <col min="2" max="2" width="10.875" bestFit="1" customWidth="1"/>
    <col min="3" max="3" width="11.5" bestFit="1" customWidth="1"/>
    <col min="4" max="4" width="9.75" bestFit="1" customWidth="1"/>
  </cols>
  <sheetData>
    <row r="2" spans="1:9" x14ac:dyDescent="0.25">
      <c r="A2" s="15" t="s">
        <v>35</v>
      </c>
      <c r="B2" s="16">
        <v>2023</v>
      </c>
      <c r="C2" s="16">
        <v>2024</v>
      </c>
      <c r="D2" s="16">
        <v>2025</v>
      </c>
      <c r="E2" s="16">
        <v>2026</v>
      </c>
      <c r="F2" s="16">
        <v>2027</v>
      </c>
      <c r="G2" s="16">
        <v>2028</v>
      </c>
      <c r="H2" s="16">
        <v>2029</v>
      </c>
      <c r="I2" s="16">
        <v>2030</v>
      </c>
    </row>
    <row r="3" spans="1:9" x14ac:dyDescent="0.25">
      <c r="A3" s="15" t="s">
        <v>36</v>
      </c>
      <c r="B3" s="17">
        <f>SUM('00878'!F7:F9,'00919'!F7:F9,'00927'!F9:F11)</f>
        <v>46180</v>
      </c>
      <c r="C3" s="17">
        <f>SUM('00878'!F14:F34,'00919'!F10:F36,'00927'!F12:F16,'0056'!F7:F34,'00713'!F7:F30,'00687B美債'!F6:F11)</f>
        <v>203741</v>
      </c>
      <c r="D3" s="34">
        <f>SUM(D21+D24+D27+C30+C33+C36+B39+B42)</f>
        <v>265336</v>
      </c>
      <c r="E3" s="44">
        <f>SUM(E21+E24+E27+D30+D33+D36+C39+C42)</f>
        <v>0</v>
      </c>
      <c r="F3" s="18"/>
      <c r="G3" s="18"/>
      <c r="H3" s="18"/>
      <c r="I3" s="18"/>
    </row>
    <row r="4" spans="1:9" x14ac:dyDescent="0.25">
      <c r="A4" t="s">
        <v>53</v>
      </c>
      <c r="B4" s="25">
        <f>SUM('00878'!E6:E10,'00919'!E6:E9,'00927'!E6:E11,'0056'!E6:E6,'00713'!E6:E6)</f>
        <v>1272931</v>
      </c>
      <c r="C4" s="25">
        <f>SUM('00878'!E11:E35,'00919'!E10:E36,'00927'!E12:E16,'0056'!E7:E34,'00713'!E7:E30,'00687B美債'!E6:E11)</f>
        <v>1809141</v>
      </c>
      <c r="D4" s="25">
        <f>SUM('00878'!E36:E75,'00919'!E37:E76,'00927'!E17:E20,'0056'!E35:E75,'00713'!E31:E70,'00687B美債'!E12:E15,'0050'!E6:E26,'2330台積電'!E6:E8)</f>
        <v>548802</v>
      </c>
      <c r="E4">
        <f>SUM('00878'!E76:E111,'00919'!E77:E112,'00927'!E21:E24,'0056'!E76:E111,'00713'!E71:E107,'00687B美債'!E16:E20,'0050'!E27:E66,'2330台積電'!E9:E15)</f>
        <v>0</v>
      </c>
    </row>
    <row r="5" spans="1:9" x14ac:dyDescent="0.25">
      <c r="A5" t="s">
        <v>54</v>
      </c>
      <c r="B5" s="25">
        <f>SUM('00878'!E6:E10,'00919'!E6:E9,'00927'!E6:E11,'0056'!E6:E6,'00713'!E6:E6)</f>
        <v>1272931</v>
      </c>
      <c r="C5" s="25">
        <f>SUM('00878'!E6:E35,'00919'!E6:E36,'00927'!E6:E16,'0056'!E6:E34,'00713'!E6:E30,'00687B美債'!E6:E11)</f>
        <v>3082072</v>
      </c>
      <c r="D5">
        <f>SUM('00878'!E6:E75,'00919'!E6:E76,'00927'!E6:E20,'0056'!E6:E75,'00713'!E6:E70,'00687B美債'!E6:E15,'0050'!E6:E26,'2330台積電'!E6:E8)</f>
        <v>3630874</v>
      </c>
    </row>
    <row r="20" spans="1:9" x14ac:dyDescent="0.25">
      <c r="A20" s="16" t="s">
        <v>35</v>
      </c>
      <c r="B20" s="16">
        <v>2023</v>
      </c>
      <c r="C20" s="16">
        <v>2024</v>
      </c>
      <c r="D20" s="16">
        <v>2025</v>
      </c>
      <c r="E20" s="16">
        <v>2026</v>
      </c>
      <c r="F20" s="16">
        <v>2027</v>
      </c>
      <c r="G20" s="16">
        <v>2028</v>
      </c>
      <c r="H20" s="16">
        <v>2029</v>
      </c>
      <c r="I20" s="16">
        <v>2030</v>
      </c>
    </row>
    <row r="21" spans="1:9" x14ac:dyDescent="0.25">
      <c r="A21" s="16" t="s">
        <v>37</v>
      </c>
      <c r="B21" s="26">
        <f>SUM('00878'!F7:F9)</f>
        <v>4820</v>
      </c>
      <c r="C21" s="26">
        <f>SUM('00878'!F11:F34)</f>
        <v>15874</v>
      </c>
      <c r="D21" s="35">
        <f>SUM('00878'!F36:F75)</f>
        <v>21576</v>
      </c>
      <c r="E21" s="35">
        <f>SUM('00878'!F76:F112)</f>
        <v>0</v>
      </c>
      <c r="F21" s="35"/>
      <c r="G21" s="35"/>
      <c r="H21" s="35"/>
      <c r="I21" s="35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6" t="s">
        <v>35</v>
      </c>
      <c r="B23" s="16">
        <v>2023</v>
      </c>
      <c r="C23" s="16">
        <v>2024</v>
      </c>
      <c r="D23" s="16">
        <v>2025</v>
      </c>
      <c r="E23" s="16">
        <v>2026</v>
      </c>
      <c r="F23" s="16">
        <v>2027</v>
      </c>
      <c r="G23" s="16">
        <v>2028</v>
      </c>
      <c r="H23" s="16">
        <v>2029</v>
      </c>
      <c r="I23" s="16">
        <v>2030</v>
      </c>
    </row>
    <row r="24" spans="1:9" x14ac:dyDescent="0.25">
      <c r="A24" s="16" t="s">
        <v>38</v>
      </c>
      <c r="B24" s="26">
        <f>SUM('00919'!F6:F9)</f>
        <v>21580</v>
      </c>
      <c r="C24" s="26">
        <f>SUM('00919'!F10:F36)</f>
        <v>62721</v>
      </c>
      <c r="D24" s="35">
        <f>SUM('00919'!F37:F76)</f>
        <v>87160</v>
      </c>
      <c r="E24" s="35">
        <f>SUM('00919'!F77:F112)</f>
        <v>0</v>
      </c>
      <c r="F24" s="35"/>
      <c r="G24" s="35"/>
      <c r="H24" s="35"/>
      <c r="I24" s="35"/>
    </row>
    <row r="25" spans="1:9" x14ac:dyDescent="0.25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6" t="s">
        <v>35</v>
      </c>
      <c r="B26" s="16">
        <v>2023</v>
      </c>
      <c r="C26" s="16">
        <v>2024</v>
      </c>
      <c r="D26" s="16">
        <v>2025</v>
      </c>
      <c r="E26" s="16">
        <v>2026</v>
      </c>
      <c r="F26" s="16">
        <v>2027</v>
      </c>
      <c r="G26" s="16">
        <v>2028</v>
      </c>
      <c r="H26" s="16">
        <v>2029</v>
      </c>
      <c r="I26" s="16">
        <v>2030</v>
      </c>
    </row>
    <row r="27" spans="1:9" x14ac:dyDescent="0.25">
      <c r="A27" s="16" t="s">
        <v>39</v>
      </c>
      <c r="B27" s="26">
        <f>SUM('00927'!F6:F11)</f>
        <v>19780</v>
      </c>
      <c r="C27" s="26">
        <f>SUM('00927'!F12:F16)</f>
        <v>91120</v>
      </c>
      <c r="D27" s="36">
        <f>SUM('00927'!F17:F20)</f>
        <v>61320</v>
      </c>
      <c r="E27" s="36">
        <f>SUM('00927'!F21:F24)</f>
        <v>0</v>
      </c>
      <c r="F27" s="36"/>
      <c r="G27" s="36"/>
      <c r="H27" s="36"/>
      <c r="I27" s="36"/>
    </row>
    <row r="29" spans="1:9" x14ac:dyDescent="0.25">
      <c r="A29" s="16" t="s">
        <v>35</v>
      </c>
      <c r="B29" s="16">
        <v>2024</v>
      </c>
      <c r="C29" s="16">
        <v>2025</v>
      </c>
      <c r="D29" s="16">
        <v>2026</v>
      </c>
      <c r="E29" s="16">
        <v>2027</v>
      </c>
      <c r="F29" s="16">
        <v>2028</v>
      </c>
      <c r="G29" s="16">
        <v>2029</v>
      </c>
      <c r="H29" s="16">
        <v>2030</v>
      </c>
    </row>
    <row r="30" spans="1:9" x14ac:dyDescent="0.25">
      <c r="A30" s="16" t="s">
        <v>40</v>
      </c>
      <c r="B30" s="26">
        <f>SUM('0056'!F7:F34)</f>
        <v>15430</v>
      </c>
      <c r="C30" s="35">
        <f>SUM('0056'!F35:F75)</f>
        <v>46046</v>
      </c>
      <c r="D30" s="35">
        <f>SUM('0056'!F76:F111)</f>
        <v>0</v>
      </c>
      <c r="E30" s="35"/>
      <c r="F30" s="35"/>
      <c r="G30" s="35"/>
      <c r="H30" s="35"/>
    </row>
    <row r="32" spans="1:9" x14ac:dyDescent="0.25">
      <c r="A32" s="16" t="s">
        <v>35</v>
      </c>
      <c r="B32" s="16">
        <v>2024</v>
      </c>
      <c r="C32" s="16">
        <v>2025</v>
      </c>
      <c r="D32" s="16">
        <v>2026</v>
      </c>
      <c r="E32" s="16">
        <v>2027</v>
      </c>
      <c r="F32" s="16">
        <v>2028</v>
      </c>
      <c r="G32" s="16">
        <v>2029</v>
      </c>
      <c r="H32" s="16">
        <v>2030</v>
      </c>
    </row>
    <row r="33" spans="1:8" x14ac:dyDescent="0.25">
      <c r="A33" s="16" t="s">
        <v>41</v>
      </c>
      <c r="B33" s="26">
        <f>SUM('00713'!F7:F30)</f>
        <v>2616</v>
      </c>
      <c r="C33" s="35">
        <f>SUM('00713'!F31:F70)</f>
        <v>7919</v>
      </c>
      <c r="D33" s="35">
        <f>SUM('00713'!F71:F106)</f>
        <v>0</v>
      </c>
      <c r="E33" s="35"/>
      <c r="F33" s="35"/>
      <c r="G33" s="35"/>
      <c r="H33" s="35"/>
    </row>
    <row r="35" spans="1:8" x14ac:dyDescent="0.25">
      <c r="A35" s="16" t="s">
        <v>35</v>
      </c>
      <c r="B35" s="16">
        <v>2024</v>
      </c>
      <c r="C35" s="16">
        <v>2025</v>
      </c>
      <c r="D35" s="16">
        <v>2026</v>
      </c>
      <c r="E35" s="16">
        <v>2027</v>
      </c>
      <c r="F35" s="16">
        <v>2028</v>
      </c>
      <c r="G35" s="16">
        <v>2029</v>
      </c>
      <c r="H35" s="16">
        <v>2030</v>
      </c>
    </row>
    <row r="36" spans="1:8" x14ac:dyDescent="0.25">
      <c r="A36" s="16" t="s">
        <v>42</v>
      </c>
      <c r="B36" s="26">
        <f>SUM('00687B美債'!F6:F11)</f>
        <v>15980</v>
      </c>
      <c r="C36" s="35">
        <f>SUM('00687B美債'!F12:F15)</f>
        <v>40160</v>
      </c>
      <c r="D36" s="35">
        <f>SUM('00687B美債'!F16:F19)</f>
        <v>0</v>
      </c>
      <c r="E36" s="35"/>
      <c r="F36" s="35"/>
      <c r="G36" s="35"/>
      <c r="H36" s="35"/>
    </row>
    <row r="38" spans="1:8" x14ac:dyDescent="0.25">
      <c r="A38" s="16" t="s">
        <v>35</v>
      </c>
      <c r="B38" s="16">
        <v>2025</v>
      </c>
      <c r="C38" s="16">
        <v>2026</v>
      </c>
      <c r="D38" s="16">
        <v>2027</v>
      </c>
      <c r="E38" s="16">
        <v>2028</v>
      </c>
      <c r="F38" s="16">
        <v>2029</v>
      </c>
      <c r="G38" s="16">
        <v>2030</v>
      </c>
      <c r="H38" s="16">
        <v>2031</v>
      </c>
    </row>
    <row r="39" spans="1:8" x14ac:dyDescent="0.25">
      <c r="A39" s="16" t="s">
        <v>51</v>
      </c>
      <c r="B39" s="26">
        <f>SUM('0050'!F6:F26)</f>
        <v>215</v>
      </c>
      <c r="C39" s="35">
        <f>SUM('0050'!F27:F66)</f>
        <v>0</v>
      </c>
      <c r="D39" s="35"/>
      <c r="E39" s="35"/>
      <c r="F39" s="35"/>
      <c r="G39" s="35"/>
      <c r="H39" s="35"/>
    </row>
    <row r="41" spans="1:8" x14ac:dyDescent="0.25">
      <c r="A41" s="16" t="s">
        <v>35</v>
      </c>
      <c r="B41" s="16">
        <v>2025</v>
      </c>
      <c r="C41" s="16">
        <v>2026</v>
      </c>
      <c r="D41" s="16">
        <v>2027</v>
      </c>
      <c r="E41" s="16">
        <v>2028</v>
      </c>
      <c r="F41" s="16">
        <v>2029</v>
      </c>
      <c r="G41" s="16">
        <v>2030</v>
      </c>
      <c r="H41" s="16">
        <v>2031</v>
      </c>
    </row>
    <row r="42" spans="1:8" x14ac:dyDescent="0.25">
      <c r="A42" s="16" t="s">
        <v>52</v>
      </c>
      <c r="B42" s="26">
        <f>SUM('2330台積電'!F6:F8)</f>
        <v>940</v>
      </c>
      <c r="C42" s="35">
        <f>SUM('2330台積電'!F9:F11)</f>
        <v>0</v>
      </c>
      <c r="D42" s="35"/>
      <c r="E42" s="35"/>
      <c r="F42" s="35"/>
      <c r="G42" s="35"/>
      <c r="H42" s="35"/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9"/>
  <sheetViews>
    <sheetView workbookViewId="0">
      <pane xSplit="5" ySplit="7" topLeftCell="F62" activePane="bottomRight" state="frozen"/>
      <selection pane="topRight" activeCell="F1" sqref="F1"/>
      <selection pane="bottomLeft" activeCell="A8" sqref="A8"/>
      <selection pane="bottomRight" activeCell="B76" sqref="B76"/>
    </sheetView>
  </sheetViews>
  <sheetFormatPr defaultRowHeight="16.5" x14ac:dyDescent="0.25"/>
  <cols>
    <col min="1" max="1" width="10.375" bestFit="1" customWidth="1"/>
    <col min="2" max="2" width="13.625" customWidth="1"/>
    <col min="3" max="3" width="12.125" bestFit="1" customWidth="1"/>
    <col min="4" max="4" width="8.125" bestFit="1" customWidth="1"/>
    <col min="5" max="5" width="10.375" bestFit="1" customWidth="1"/>
    <col min="7" max="7" width="14.125" bestFit="1" customWidth="1"/>
    <col min="10" max="10" width="49.625" bestFit="1" customWidth="1"/>
    <col min="11" max="11" width="12.125" bestFit="1" customWidth="1"/>
  </cols>
  <sheetData>
    <row r="1" spans="1:11" x14ac:dyDescent="0.25">
      <c r="A1" s="49" t="s">
        <v>7</v>
      </c>
      <c r="B1" s="50"/>
      <c r="C1" s="50"/>
      <c r="D1" s="50"/>
      <c r="E1" s="50"/>
      <c r="F1" s="47" t="s">
        <v>43</v>
      </c>
      <c r="G1" s="48"/>
      <c r="J1" s="2"/>
      <c r="K1" s="3"/>
    </row>
    <row r="2" spans="1:1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11" x14ac:dyDescent="0.25">
      <c r="A3" s="56">
        <f>(E3-F3)/D3</f>
        <v>17.380641498722678</v>
      </c>
      <c r="B3" s="57">
        <f>E3/D3</f>
        <v>20.380215725234176</v>
      </c>
      <c r="C3" s="58">
        <f>SUM('878股價'!B2)</f>
        <v>27.82</v>
      </c>
      <c r="D3" s="55">
        <f>SUM(D6:D201)</f>
        <v>14092</v>
      </c>
      <c r="E3" s="55">
        <f>SUM(E6:E201)</f>
        <v>287198</v>
      </c>
      <c r="F3" s="55">
        <f>SUM(F6:F1000)</f>
        <v>42270</v>
      </c>
      <c r="G3" s="7">
        <f>G4/E3</f>
        <v>0.51223002945702967</v>
      </c>
    </row>
    <row r="4" spans="1:11" x14ac:dyDescent="0.25">
      <c r="A4" s="56"/>
      <c r="B4" s="57"/>
      <c r="C4" s="58"/>
      <c r="D4" s="55"/>
      <c r="E4" s="55"/>
      <c r="F4" s="55"/>
      <c r="G4" s="8">
        <f>(C3-B3)*D3+F3</f>
        <v>147111.44</v>
      </c>
    </row>
    <row r="5" spans="1:11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1" t="s">
        <v>5</v>
      </c>
      <c r="G5" s="51"/>
    </row>
    <row r="6" spans="1:11" x14ac:dyDescent="0.25">
      <c r="A6" s="9">
        <v>1</v>
      </c>
      <c r="B6" s="19">
        <v>20230316</v>
      </c>
      <c r="C6" s="19">
        <v>16.829999999999998</v>
      </c>
      <c r="D6" s="19">
        <v>5000</v>
      </c>
      <c r="E6" s="19">
        <v>84228</v>
      </c>
      <c r="F6" s="52"/>
      <c r="G6" s="52"/>
    </row>
    <row r="7" spans="1:11" x14ac:dyDescent="0.25">
      <c r="A7" s="9">
        <v>2</v>
      </c>
      <c r="B7" s="19">
        <v>20230612</v>
      </c>
      <c r="C7" s="19"/>
      <c r="D7" s="19"/>
      <c r="E7" s="19"/>
      <c r="F7" s="53">
        <v>1340</v>
      </c>
      <c r="G7" s="54"/>
    </row>
    <row r="8" spans="1:11" x14ac:dyDescent="0.25">
      <c r="A8" s="9">
        <v>3</v>
      </c>
      <c r="B8" s="19">
        <v>20230911</v>
      </c>
      <c r="C8" s="19"/>
      <c r="D8" s="19"/>
      <c r="E8" s="19"/>
      <c r="F8" s="53">
        <v>1740</v>
      </c>
      <c r="G8" s="54"/>
    </row>
    <row r="9" spans="1:11" x14ac:dyDescent="0.25">
      <c r="A9" s="9">
        <v>4</v>
      </c>
      <c r="B9" s="19">
        <v>20231212</v>
      </c>
      <c r="C9" s="19"/>
      <c r="D9" s="19"/>
      <c r="E9" s="19"/>
      <c r="F9" s="53">
        <v>1740</v>
      </c>
      <c r="G9" s="54"/>
    </row>
    <row r="10" spans="1:11" x14ac:dyDescent="0.25">
      <c r="A10" s="9">
        <v>5</v>
      </c>
      <c r="B10" s="19">
        <v>20231225</v>
      </c>
      <c r="C10" s="19">
        <v>21.18</v>
      </c>
      <c r="D10" s="19">
        <v>257</v>
      </c>
      <c r="E10" s="19">
        <v>5444</v>
      </c>
      <c r="F10" s="52"/>
      <c r="G10" s="52"/>
    </row>
    <row r="11" spans="1:11" x14ac:dyDescent="0.25">
      <c r="A11" s="9">
        <v>6</v>
      </c>
      <c r="B11" s="20">
        <v>20240125</v>
      </c>
      <c r="C11" s="20">
        <v>21.75</v>
      </c>
      <c r="D11" s="20">
        <v>252</v>
      </c>
      <c r="E11" s="20">
        <v>5482</v>
      </c>
      <c r="F11" s="59"/>
      <c r="G11" s="59"/>
    </row>
    <row r="12" spans="1:11" x14ac:dyDescent="0.25">
      <c r="A12" s="9">
        <v>7</v>
      </c>
      <c r="B12" s="20">
        <v>20240226</v>
      </c>
      <c r="C12" s="20">
        <v>22.43</v>
      </c>
      <c r="D12" s="20">
        <v>242</v>
      </c>
      <c r="E12" s="20">
        <v>5429</v>
      </c>
      <c r="F12" s="59"/>
      <c r="G12" s="59"/>
    </row>
    <row r="13" spans="1:11" x14ac:dyDescent="0.25">
      <c r="A13" s="9">
        <v>8</v>
      </c>
      <c r="B13" s="20">
        <v>20240325</v>
      </c>
      <c r="C13" s="20">
        <v>22.56</v>
      </c>
      <c r="D13" s="20">
        <v>242</v>
      </c>
      <c r="E13" s="20">
        <v>5461</v>
      </c>
      <c r="F13" s="59"/>
      <c r="G13" s="59"/>
    </row>
    <row r="14" spans="1:11" x14ac:dyDescent="0.25">
      <c r="A14" s="9">
        <v>9</v>
      </c>
      <c r="B14" s="20">
        <v>20240325</v>
      </c>
      <c r="C14" s="20"/>
      <c r="D14" s="20"/>
      <c r="E14" s="20"/>
      <c r="F14" s="60">
        <v>2290</v>
      </c>
      <c r="G14" s="61"/>
    </row>
    <row r="15" spans="1:11" x14ac:dyDescent="0.25">
      <c r="A15" s="9">
        <v>10</v>
      </c>
      <c r="B15" s="20">
        <v>20240425</v>
      </c>
      <c r="C15" s="20">
        <v>21.8</v>
      </c>
      <c r="D15" s="20">
        <v>247</v>
      </c>
      <c r="E15" s="20">
        <v>5386</v>
      </c>
      <c r="F15" s="59"/>
      <c r="G15" s="59"/>
    </row>
    <row r="16" spans="1:11" x14ac:dyDescent="0.25">
      <c r="A16" s="9">
        <v>11</v>
      </c>
      <c r="B16" s="20">
        <v>20240527</v>
      </c>
      <c r="C16" s="20">
        <v>23.3</v>
      </c>
      <c r="D16" s="20">
        <v>235</v>
      </c>
      <c r="E16" s="20">
        <v>5477</v>
      </c>
      <c r="F16" s="60"/>
      <c r="G16" s="61"/>
    </row>
    <row r="17" spans="1:7" x14ac:dyDescent="0.25">
      <c r="A17" s="9">
        <v>12</v>
      </c>
      <c r="B17" s="20">
        <v>20240613</v>
      </c>
      <c r="C17" s="20"/>
      <c r="D17" s="20"/>
      <c r="E17" s="20"/>
      <c r="F17" s="60">
        <v>3172</v>
      </c>
      <c r="G17" s="61"/>
    </row>
    <row r="18" spans="1:7" x14ac:dyDescent="0.25">
      <c r="A18" s="9">
        <v>13</v>
      </c>
      <c r="B18" s="20">
        <v>20240625</v>
      </c>
      <c r="C18" s="20">
        <v>23.6</v>
      </c>
      <c r="D18" s="20">
        <v>230</v>
      </c>
      <c r="E18" s="20">
        <v>5429</v>
      </c>
      <c r="F18" s="60"/>
      <c r="G18" s="61"/>
    </row>
    <row r="19" spans="1:7" x14ac:dyDescent="0.25">
      <c r="A19" s="10">
        <v>14</v>
      </c>
      <c r="B19" s="20">
        <v>20240726</v>
      </c>
      <c r="C19" s="20">
        <v>23.04</v>
      </c>
      <c r="D19" s="20">
        <v>2000</v>
      </c>
      <c r="E19" s="20">
        <v>46123</v>
      </c>
      <c r="F19" s="60"/>
      <c r="G19" s="61"/>
    </row>
    <row r="20" spans="1:7" x14ac:dyDescent="0.25">
      <c r="A20" s="10">
        <v>15</v>
      </c>
      <c r="B20" s="20">
        <v>20240726</v>
      </c>
      <c r="C20" s="20">
        <v>23.09</v>
      </c>
      <c r="D20" s="20">
        <v>232</v>
      </c>
      <c r="E20" s="20">
        <v>5358</v>
      </c>
      <c r="F20" s="59"/>
      <c r="G20" s="59"/>
    </row>
    <row r="21" spans="1:7" x14ac:dyDescent="0.25">
      <c r="A21" s="10">
        <v>16</v>
      </c>
      <c r="B21" s="20">
        <v>20240815</v>
      </c>
      <c r="C21" s="20">
        <v>23.35</v>
      </c>
      <c r="D21" s="20">
        <v>97</v>
      </c>
      <c r="E21" s="20">
        <v>2266</v>
      </c>
      <c r="F21" s="59"/>
      <c r="G21" s="59"/>
    </row>
    <row r="22" spans="1:7" x14ac:dyDescent="0.25">
      <c r="A22" s="10">
        <v>17</v>
      </c>
      <c r="B22" s="20">
        <v>20240826</v>
      </c>
      <c r="C22" s="20">
        <v>22.93</v>
      </c>
      <c r="D22" s="20">
        <v>99</v>
      </c>
      <c r="E22" s="20">
        <v>2271</v>
      </c>
      <c r="F22" s="59"/>
      <c r="G22" s="59"/>
    </row>
    <row r="23" spans="1:7" x14ac:dyDescent="0.25">
      <c r="A23" s="10">
        <v>18</v>
      </c>
      <c r="B23" s="20">
        <v>20240905</v>
      </c>
      <c r="C23" s="20">
        <v>22.21</v>
      </c>
      <c r="D23" s="20">
        <v>102</v>
      </c>
      <c r="E23" s="20">
        <v>2266</v>
      </c>
      <c r="F23" s="59"/>
      <c r="G23" s="59"/>
    </row>
    <row r="24" spans="1:7" x14ac:dyDescent="0.25">
      <c r="A24" s="10">
        <v>19</v>
      </c>
      <c r="B24" s="20">
        <v>20240911</v>
      </c>
      <c r="C24" s="20"/>
      <c r="D24" s="20"/>
      <c r="E24" s="20"/>
      <c r="F24" s="59">
        <v>4959</v>
      </c>
      <c r="G24" s="59"/>
    </row>
    <row r="25" spans="1:7" x14ac:dyDescent="0.25">
      <c r="A25" s="10">
        <v>20</v>
      </c>
      <c r="B25" s="20">
        <v>20240916</v>
      </c>
      <c r="C25" s="20">
        <v>22.32</v>
      </c>
      <c r="D25" s="20">
        <v>102</v>
      </c>
      <c r="E25" s="20">
        <v>2278</v>
      </c>
      <c r="F25" s="59"/>
      <c r="G25" s="59"/>
    </row>
    <row r="26" spans="1:7" x14ac:dyDescent="0.25">
      <c r="A26" s="10">
        <v>21</v>
      </c>
      <c r="B26" s="20">
        <v>20241007</v>
      </c>
      <c r="C26" s="20">
        <v>22.73</v>
      </c>
      <c r="D26" s="20">
        <v>100</v>
      </c>
      <c r="E26" s="20">
        <v>2274</v>
      </c>
      <c r="F26" s="59"/>
      <c r="G26" s="59"/>
    </row>
    <row r="27" spans="1:7" x14ac:dyDescent="0.25">
      <c r="A27" s="10">
        <v>22</v>
      </c>
      <c r="B27" s="20">
        <v>20241015</v>
      </c>
      <c r="C27" s="20">
        <v>22.85</v>
      </c>
      <c r="D27" s="20">
        <v>99</v>
      </c>
      <c r="E27" s="20">
        <v>2263</v>
      </c>
      <c r="F27" s="59"/>
      <c r="G27" s="59"/>
    </row>
    <row r="28" spans="1:7" x14ac:dyDescent="0.25">
      <c r="A28" s="10">
        <v>23</v>
      </c>
      <c r="B28" s="20">
        <v>20241025</v>
      </c>
      <c r="C28" s="20">
        <v>23.02</v>
      </c>
      <c r="D28" s="20">
        <v>98</v>
      </c>
      <c r="E28" s="20">
        <v>2257</v>
      </c>
      <c r="F28" s="59"/>
      <c r="G28" s="59"/>
    </row>
    <row r="29" spans="1:7" x14ac:dyDescent="0.25">
      <c r="A29" s="10">
        <v>24</v>
      </c>
      <c r="B29" s="20">
        <v>20241105</v>
      </c>
      <c r="C29" s="20">
        <v>22.82</v>
      </c>
      <c r="D29" s="20">
        <v>99</v>
      </c>
      <c r="E29" s="20">
        <v>2260</v>
      </c>
      <c r="F29" s="59"/>
      <c r="G29" s="59"/>
    </row>
    <row r="30" spans="1:7" x14ac:dyDescent="0.25">
      <c r="A30" s="10">
        <v>25</v>
      </c>
      <c r="B30" s="20">
        <v>20241115</v>
      </c>
      <c r="C30" s="20">
        <v>22.78</v>
      </c>
      <c r="D30" s="20">
        <v>99</v>
      </c>
      <c r="E30" s="20">
        <v>2256</v>
      </c>
      <c r="F30" s="59"/>
      <c r="G30" s="59"/>
    </row>
    <row r="31" spans="1:7" x14ac:dyDescent="0.25">
      <c r="A31" s="10">
        <v>26</v>
      </c>
      <c r="B31" s="20">
        <v>20241125</v>
      </c>
      <c r="C31" s="20">
        <v>22.36</v>
      </c>
      <c r="D31" s="20">
        <v>102</v>
      </c>
      <c r="E31" s="20">
        <v>2282</v>
      </c>
      <c r="F31" s="59"/>
      <c r="G31" s="59"/>
    </row>
    <row r="32" spans="1:7" x14ac:dyDescent="0.25">
      <c r="A32" s="10">
        <v>27</v>
      </c>
      <c r="B32" s="20">
        <v>20241205</v>
      </c>
      <c r="C32" s="20">
        <v>22.22</v>
      </c>
      <c r="D32" s="20">
        <v>102</v>
      </c>
      <c r="E32" s="20">
        <v>2267</v>
      </c>
      <c r="F32" s="59"/>
      <c r="G32" s="59"/>
    </row>
    <row r="33" spans="1:7" x14ac:dyDescent="0.25">
      <c r="A33" s="10">
        <v>28</v>
      </c>
      <c r="B33" s="20">
        <v>20241212</v>
      </c>
      <c r="C33" s="20"/>
      <c r="D33" s="20"/>
      <c r="E33" s="20"/>
      <c r="F33" s="59">
        <v>5453</v>
      </c>
      <c r="G33" s="59"/>
    </row>
    <row r="34" spans="1:7" x14ac:dyDescent="0.25">
      <c r="A34" s="10">
        <v>29</v>
      </c>
      <c r="B34" s="20">
        <v>20241216</v>
      </c>
      <c r="C34" s="20">
        <v>22.26</v>
      </c>
      <c r="D34" s="20">
        <v>102</v>
      </c>
      <c r="E34" s="20">
        <v>2271</v>
      </c>
      <c r="F34" s="59"/>
      <c r="G34" s="59"/>
    </row>
    <row r="35" spans="1:7" x14ac:dyDescent="0.25">
      <c r="A35" s="10">
        <v>30</v>
      </c>
      <c r="B35" s="27">
        <v>20241225</v>
      </c>
      <c r="C35" s="20">
        <v>22.39</v>
      </c>
      <c r="D35" s="20">
        <v>101</v>
      </c>
      <c r="E35" s="20">
        <v>2262</v>
      </c>
      <c r="F35" s="59"/>
      <c r="G35" s="59"/>
    </row>
    <row r="36" spans="1:7" x14ac:dyDescent="0.25">
      <c r="A36" s="10">
        <v>31</v>
      </c>
      <c r="B36" s="28">
        <v>20250106</v>
      </c>
      <c r="C36" s="28">
        <v>22.32</v>
      </c>
      <c r="D36" s="28">
        <v>102</v>
      </c>
      <c r="E36" s="28">
        <v>2277</v>
      </c>
      <c r="F36" s="62"/>
      <c r="G36" s="62"/>
    </row>
    <row r="37" spans="1:7" x14ac:dyDescent="0.25">
      <c r="A37" s="10">
        <v>32</v>
      </c>
      <c r="B37" s="28">
        <v>20250115</v>
      </c>
      <c r="C37" s="28">
        <v>21.95</v>
      </c>
      <c r="D37" s="28">
        <v>103</v>
      </c>
      <c r="E37" s="28">
        <v>2262</v>
      </c>
      <c r="F37" s="62"/>
      <c r="G37" s="62"/>
    </row>
    <row r="38" spans="1:7" x14ac:dyDescent="0.25">
      <c r="A38" s="10">
        <v>33</v>
      </c>
      <c r="B38" s="28">
        <v>20250203</v>
      </c>
      <c r="C38" s="28">
        <v>22.1</v>
      </c>
      <c r="D38" s="28">
        <v>102</v>
      </c>
      <c r="E38" s="28">
        <v>2255</v>
      </c>
      <c r="F38" s="62"/>
      <c r="G38" s="62"/>
    </row>
    <row r="39" spans="1:7" x14ac:dyDescent="0.25">
      <c r="A39" s="10">
        <v>34</v>
      </c>
      <c r="B39" s="28">
        <v>20250205</v>
      </c>
      <c r="C39" s="28">
        <v>22.29</v>
      </c>
      <c r="D39" s="28">
        <v>103</v>
      </c>
      <c r="E39" s="28">
        <v>2297</v>
      </c>
      <c r="F39" s="62"/>
      <c r="G39" s="62"/>
    </row>
    <row r="40" spans="1:7" x14ac:dyDescent="0.25">
      <c r="A40" s="10">
        <v>35</v>
      </c>
      <c r="B40" s="28">
        <v>20250217</v>
      </c>
      <c r="C40" s="28">
        <v>22.85</v>
      </c>
      <c r="D40" s="28">
        <v>100</v>
      </c>
      <c r="E40" s="28">
        <v>2286</v>
      </c>
      <c r="F40" s="62"/>
      <c r="G40" s="62"/>
    </row>
    <row r="41" spans="1:7" x14ac:dyDescent="0.25">
      <c r="A41" s="10">
        <v>36</v>
      </c>
      <c r="B41" s="28">
        <v>20250225</v>
      </c>
      <c r="C41" s="28"/>
      <c r="D41" s="28"/>
      <c r="E41" s="28">
        <v>2248</v>
      </c>
      <c r="F41" s="62"/>
      <c r="G41" s="62"/>
    </row>
    <row r="42" spans="1:7" x14ac:dyDescent="0.25">
      <c r="A42" s="10">
        <v>37</v>
      </c>
      <c r="B42" s="28">
        <v>20250305</v>
      </c>
      <c r="C42" s="28">
        <v>22.25</v>
      </c>
      <c r="D42" s="28">
        <v>102</v>
      </c>
      <c r="E42" s="28">
        <v>2271</v>
      </c>
      <c r="F42" s="62"/>
      <c r="G42" s="62"/>
    </row>
    <row r="43" spans="1:7" x14ac:dyDescent="0.25">
      <c r="A43" s="10">
        <v>38</v>
      </c>
      <c r="B43" s="28">
        <v>20250317</v>
      </c>
      <c r="C43" s="28">
        <v>21.85</v>
      </c>
      <c r="D43" s="28">
        <v>104</v>
      </c>
      <c r="E43" s="28">
        <v>2273</v>
      </c>
      <c r="F43" s="62"/>
      <c r="G43" s="62"/>
    </row>
    <row r="44" spans="1:7" x14ac:dyDescent="0.25">
      <c r="A44" s="10">
        <v>39</v>
      </c>
      <c r="B44" s="28">
        <v>20250318</v>
      </c>
      <c r="C44" s="28"/>
      <c r="D44" s="28"/>
      <c r="E44" s="28"/>
      <c r="F44" s="62">
        <v>5415</v>
      </c>
      <c r="G44" s="62"/>
    </row>
    <row r="45" spans="1:7" x14ac:dyDescent="0.25">
      <c r="A45" s="10">
        <v>40</v>
      </c>
      <c r="B45" s="28">
        <v>20250325</v>
      </c>
      <c r="C45" s="28">
        <v>22.03</v>
      </c>
      <c r="D45" s="28">
        <v>103</v>
      </c>
      <c r="E45" s="28">
        <v>2270</v>
      </c>
      <c r="F45" s="62"/>
      <c r="G45" s="62"/>
    </row>
    <row r="46" spans="1:7" x14ac:dyDescent="0.25">
      <c r="A46" s="10">
        <v>41</v>
      </c>
      <c r="B46" s="28">
        <v>20250407</v>
      </c>
      <c r="C46" s="28">
        <v>19.149999999999999</v>
      </c>
      <c r="D46" s="28">
        <v>106</v>
      </c>
      <c r="E46" s="28">
        <v>2031</v>
      </c>
      <c r="F46" s="62"/>
      <c r="G46" s="62"/>
    </row>
    <row r="47" spans="1:7" x14ac:dyDescent="0.25">
      <c r="A47" s="10">
        <v>42</v>
      </c>
      <c r="B47" s="28">
        <v>20250415</v>
      </c>
      <c r="C47" s="28">
        <v>19.940000000000001</v>
      </c>
      <c r="D47" s="28">
        <v>114</v>
      </c>
      <c r="E47" s="28">
        <v>2274</v>
      </c>
      <c r="F47" s="62"/>
      <c r="G47" s="62"/>
    </row>
    <row r="48" spans="1:7" x14ac:dyDescent="0.25">
      <c r="A48" s="10">
        <v>43</v>
      </c>
      <c r="B48" s="28">
        <v>20250425</v>
      </c>
      <c r="C48" s="28">
        <v>20.079999999999998</v>
      </c>
      <c r="D48" s="28">
        <v>115</v>
      </c>
      <c r="E48" s="28">
        <v>2310</v>
      </c>
      <c r="F48" s="62"/>
      <c r="G48" s="62"/>
    </row>
    <row r="49" spans="1:7" x14ac:dyDescent="0.25">
      <c r="A49" s="10">
        <v>44</v>
      </c>
      <c r="B49" s="28">
        <v>20250505</v>
      </c>
      <c r="C49" s="28">
        <v>20.59</v>
      </c>
      <c r="D49" s="28">
        <v>110</v>
      </c>
      <c r="E49" s="28">
        <v>2266</v>
      </c>
      <c r="F49" s="62"/>
      <c r="G49" s="62"/>
    </row>
    <row r="50" spans="1:7" x14ac:dyDescent="0.25">
      <c r="A50" s="10">
        <v>45</v>
      </c>
      <c r="B50" s="28">
        <v>20250515</v>
      </c>
      <c r="C50" s="28">
        <v>21.29</v>
      </c>
      <c r="D50" s="28">
        <v>106</v>
      </c>
      <c r="E50" s="28">
        <v>2258</v>
      </c>
      <c r="F50" s="62"/>
      <c r="G50" s="62"/>
    </row>
    <row r="51" spans="1:7" x14ac:dyDescent="0.25">
      <c r="A51" s="10">
        <v>46</v>
      </c>
      <c r="B51" s="28">
        <v>20250526</v>
      </c>
      <c r="C51" s="28">
        <v>20.6</v>
      </c>
      <c r="D51" s="28">
        <v>110</v>
      </c>
      <c r="E51" s="28">
        <v>2267</v>
      </c>
      <c r="F51" s="62"/>
      <c r="G51" s="62"/>
    </row>
    <row r="52" spans="1:7" x14ac:dyDescent="0.25">
      <c r="A52" s="10">
        <v>47</v>
      </c>
      <c r="B52" s="28">
        <v>20250605</v>
      </c>
      <c r="C52" s="28">
        <v>20.5</v>
      </c>
      <c r="D52" s="28">
        <v>110</v>
      </c>
      <c r="E52" s="28">
        <v>2256</v>
      </c>
      <c r="F52" s="62"/>
      <c r="G52" s="62"/>
    </row>
    <row r="53" spans="1:7" x14ac:dyDescent="0.25">
      <c r="A53" s="10">
        <v>48</v>
      </c>
      <c r="B53" s="28">
        <v>20250613</v>
      </c>
      <c r="C53" s="28"/>
      <c r="D53" s="28"/>
      <c r="E53" s="28"/>
      <c r="F53" s="62">
        <v>5540</v>
      </c>
      <c r="G53" s="62"/>
    </row>
    <row r="54" spans="1:7" x14ac:dyDescent="0.25">
      <c r="A54" s="10">
        <v>49</v>
      </c>
      <c r="B54" s="28">
        <v>20250616</v>
      </c>
      <c r="C54" s="28">
        <v>20.82</v>
      </c>
      <c r="D54" s="28">
        <v>109</v>
      </c>
      <c r="E54" s="28">
        <v>2270</v>
      </c>
      <c r="F54" s="62"/>
      <c r="G54" s="62"/>
    </row>
    <row r="55" spans="1:7" x14ac:dyDescent="0.25">
      <c r="A55" s="10">
        <v>50</v>
      </c>
      <c r="B55" s="28">
        <v>20250625</v>
      </c>
      <c r="C55" s="28">
        <v>20.96</v>
      </c>
      <c r="D55" s="28">
        <v>108</v>
      </c>
      <c r="E55" s="28">
        <v>2265</v>
      </c>
      <c r="F55" s="62"/>
      <c r="G55" s="62"/>
    </row>
    <row r="56" spans="1:7" x14ac:dyDescent="0.25">
      <c r="A56" s="10">
        <v>51</v>
      </c>
      <c r="B56" s="28">
        <v>20250707</v>
      </c>
      <c r="C56" s="28">
        <v>20.93</v>
      </c>
      <c r="D56" s="28">
        <v>108</v>
      </c>
      <c r="E56" s="28">
        <v>2261</v>
      </c>
      <c r="F56" s="62"/>
      <c r="G56" s="62"/>
    </row>
    <row r="57" spans="1:7" x14ac:dyDescent="0.25">
      <c r="A57" s="10">
        <v>52</v>
      </c>
      <c r="B57" s="28">
        <v>20250715</v>
      </c>
      <c r="C57" s="28">
        <v>21.04</v>
      </c>
      <c r="D57" s="28">
        <v>108</v>
      </c>
      <c r="E57" s="28">
        <v>2273</v>
      </c>
      <c r="F57" s="62"/>
      <c r="G57" s="62"/>
    </row>
    <row r="58" spans="1:7" x14ac:dyDescent="0.25">
      <c r="A58" s="10">
        <v>53</v>
      </c>
      <c r="B58" s="28">
        <v>20250725</v>
      </c>
      <c r="C58" s="28">
        <v>21.22</v>
      </c>
      <c r="D58" s="28">
        <v>107</v>
      </c>
      <c r="E58" s="28">
        <v>2272</v>
      </c>
      <c r="F58" s="62"/>
      <c r="G58" s="62"/>
    </row>
    <row r="59" spans="1:7" x14ac:dyDescent="0.25">
      <c r="A59" s="10">
        <v>54</v>
      </c>
      <c r="B59" s="28">
        <v>20250805</v>
      </c>
      <c r="C59" s="28">
        <v>21.2</v>
      </c>
      <c r="D59" s="28">
        <v>107</v>
      </c>
      <c r="E59" s="28">
        <v>2269</v>
      </c>
      <c r="F59" s="62"/>
      <c r="G59" s="62"/>
    </row>
    <row r="60" spans="1:7" x14ac:dyDescent="0.25">
      <c r="A60" s="10">
        <v>55</v>
      </c>
      <c r="B60" s="28">
        <v>20250815</v>
      </c>
      <c r="C60" s="28">
        <v>21.22</v>
      </c>
      <c r="D60" s="28">
        <v>107</v>
      </c>
      <c r="E60" s="28">
        <v>2272</v>
      </c>
      <c r="F60" s="62"/>
      <c r="G60" s="62"/>
    </row>
    <row r="61" spans="1:7" x14ac:dyDescent="0.25">
      <c r="A61" s="10">
        <v>56</v>
      </c>
      <c r="B61" s="28">
        <v>20250825</v>
      </c>
      <c r="C61" s="28">
        <v>20.57</v>
      </c>
      <c r="D61" s="28">
        <v>111</v>
      </c>
      <c r="E61" s="28">
        <v>2284</v>
      </c>
      <c r="F61" s="62"/>
      <c r="G61" s="62"/>
    </row>
    <row r="62" spans="1:7" x14ac:dyDescent="0.25">
      <c r="A62" s="10">
        <v>57</v>
      </c>
      <c r="B62" s="28">
        <v>20250905</v>
      </c>
      <c r="C62" s="28">
        <v>20.47</v>
      </c>
      <c r="D62" s="28">
        <v>111</v>
      </c>
      <c r="E62" s="28">
        <v>2273</v>
      </c>
      <c r="F62" s="62"/>
      <c r="G62" s="62"/>
    </row>
    <row r="63" spans="1:7" x14ac:dyDescent="0.25">
      <c r="A63" s="10">
        <v>58</v>
      </c>
      <c r="B63" s="28">
        <v>20250911</v>
      </c>
      <c r="C63" s="28"/>
      <c r="D63" s="28"/>
      <c r="E63" s="28"/>
      <c r="F63" s="62">
        <v>5103</v>
      </c>
      <c r="G63" s="62"/>
    </row>
    <row r="64" spans="1:7" x14ac:dyDescent="0.25">
      <c r="A64" s="10">
        <v>59</v>
      </c>
      <c r="B64" s="28">
        <v>20250915</v>
      </c>
      <c r="C64" s="28">
        <v>21.08</v>
      </c>
      <c r="D64" s="28">
        <v>118</v>
      </c>
      <c r="E64" s="28">
        <v>2488</v>
      </c>
      <c r="F64" s="62"/>
      <c r="G64" s="62"/>
    </row>
    <row r="65" spans="1:7" x14ac:dyDescent="0.25">
      <c r="A65" s="10">
        <v>60</v>
      </c>
      <c r="B65" s="28">
        <v>20250925</v>
      </c>
      <c r="C65" s="28">
        <v>21.45</v>
      </c>
      <c r="D65" s="28">
        <v>116</v>
      </c>
      <c r="E65" s="28">
        <v>2489</v>
      </c>
      <c r="F65" s="62"/>
      <c r="G65" s="62"/>
    </row>
    <row r="66" spans="1:7" x14ac:dyDescent="0.25">
      <c r="A66" s="10">
        <v>61</v>
      </c>
      <c r="B66" s="28">
        <v>20251007</v>
      </c>
      <c r="C66" s="28">
        <v>21.41</v>
      </c>
      <c r="D66" s="28">
        <v>116</v>
      </c>
      <c r="E66" s="28">
        <v>2484</v>
      </c>
      <c r="F66" s="62"/>
      <c r="G66" s="62"/>
    </row>
    <row r="67" spans="1:7" x14ac:dyDescent="0.25">
      <c r="A67" s="10">
        <v>62</v>
      </c>
      <c r="B67" s="28">
        <v>20251015</v>
      </c>
      <c r="C67" s="28">
        <v>21.2</v>
      </c>
      <c r="D67" s="28">
        <v>117</v>
      </c>
      <c r="E67" s="28">
        <v>2480</v>
      </c>
      <c r="F67" s="62"/>
      <c r="G67" s="62"/>
    </row>
    <row r="68" spans="1:7" x14ac:dyDescent="0.25">
      <c r="A68" s="10">
        <v>63</v>
      </c>
      <c r="B68" s="28">
        <v>20251027</v>
      </c>
      <c r="C68" s="28">
        <v>21.77</v>
      </c>
      <c r="D68" s="28">
        <v>114</v>
      </c>
      <c r="E68" s="28">
        <v>2482</v>
      </c>
      <c r="F68" s="62"/>
      <c r="G68" s="62"/>
    </row>
    <row r="69" spans="1:7" x14ac:dyDescent="0.25">
      <c r="A69" s="10">
        <v>64</v>
      </c>
      <c r="B69" s="28">
        <v>20251105</v>
      </c>
      <c r="C69" s="28">
        <v>21.28</v>
      </c>
      <c r="D69" s="28">
        <v>117</v>
      </c>
      <c r="E69" s="28">
        <v>2491</v>
      </c>
      <c r="F69" s="62"/>
      <c r="G69" s="62"/>
    </row>
    <row r="70" spans="1:7" x14ac:dyDescent="0.25">
      <c r="A70" s="10">
        <v>65</v>
      </c>
      <c r="B70" s="28">
        <v>20251117</v>
      </c>
      <c r="C70" s="28">
        <v>21.22</v>
      </c>
      <c r="D70" s="28">
        <v>117</v>
      </c>
      <c r="E70" s="28">
        <v>2484</v>
      </c>
      <c r="F70" s="62"/>
      <c r="G70" s="62"/>
    </row>
    <row r="71" spans="1:7" x14ac:dyDescent="0.25">
      <c r="A71" s="10">
        <v>66</v>
      </c>
      <c r="B71" s="28">
        <v>20251125</v>
      </c>
      <c r="C71" s="28">
        <v>20.61</v>
      </c>
      <c r="D71" s="28">
        <v>121</v>
      </c>
      <c r="E71" s="28">
        <v>2495</v>
      </c>
      <c r="F71" s="62"/>
      <c r="G71" s="62"/>
    </row>
    <row r="72" spans="1:7" x14ac:dyDescent="0.25">
      <c r="A72" s="10">
        <v>67</v>
      </c>
      <c r="B72" s="28">
        <v>20251205</v>
      </c>
      <c r="C72" s="28">
        <v>21.17</v>
      </c>
      <c r="D72" s="28">
        <v>118</v>
      </c>
      <c r="E72" s="28">
        <v>2499</v>
      </c>
      <c r="F72" s="62"/>
      <c r="G72" s="62"/>
    </row>
    <row r="73" spans="1:7" x14ac:dyDescent="0.25">
      <c r="A73" s="10">
        <v>68</v>
      </c>
      <c r="B73" s="28">
        <v>20251212</v>
      </c>
      <c r="C73" s="28"/>
      <c r="D73" s="28"/>
      <c r="E73" s="28"/>
      <c r="F73" s="62">
        <v>5518</v>
      </c>
      <c r="G73" s="62"/>
    </row>
    <row r="74" spans="1:7" x14ac:dyDescent="0.25">
      <c r="A74" s="10">
        <v>69</v>
      </c>
      <c r="B74" s="28">
        <v>20251215</v>
      </c>
      <c r="C74" s="28">
        <v>21.14</v>
      </c>
      <c r="D74" s="28">
        <v>118</v>
      </c>
      <c r="E74" s="28">
        <v>2495</v>
      </c>
      <c r="F74" s="62"/>
      <c r="G74" s="62"/>
    </row>
    <row r="75" spans="1:7" x14ac:dyDescent="0.25">
      <c r="A75" s="10">
        <v>70</v>
      </c>
      <c r="B75" s="28">
        <v>20251226</v>
      </c>
      <c r="C75" s="28">
        <v>21.56</v>
      </c>
      <c r="D75" s="28">
        <v>115</v>
      </c>
      <c r="E75" s="28">
        <v>2481</v>
      </c>
      <c r="F75" s="62"/>
      <c r="G75" s="62"/>
    </row>
    <row r="76" spans="1:7" x14ac:dyDescent="0.25">
      <c r="A76" s="10">
        <v>71</v>
      </c>
      <c r="B76" s="39"/>
      <c r="C76" s="39"/>
      <c r="D76" s="39"/>
      <c r="E76" s="39"/>
      <c r="F76" s="46"/>
      <c r="G76" s="46"/>
    </row>
    <row r="77" spans="1:7" x14ac:dyDescent="0.25">
      <c r="A77" s="10">
        <v>72</v>
      </c>
      <c r="B77" s="39"/>
      <c r="C77" s="39"/>
      <c r="D77" s="39"/>
      <c r="E77" s="39"/>
      <c r="F77" s="46"/>
      <c r="G77" s="46"/>
    </row>
    <row r="78" spans="1:7" x14ac:dyDescent="0.25">
      <c r="A78" s="10">
        <v>73</v>
      </c>
      <c r="B78" s="39"/>
      <c r="C78" s="39"/>
      <c r="D78" s="39"/>
      <c r="E78" s="39"/>
      <c r="F78" s="46"/>
      <c r="G78" s="46"/>
    </row>
    <row r="79" spans="1:7" x14ac:dyDescent="0.25">
      <c r="A79" s="10">
        <v>74</v>
      </c>
      <c r="B79" s="39"/>
      <c r="C79" s="39"/>
      <c r="D79" s="39"/>
      <c r="E79" s="39"/>
      <c r="F79" s="46"/>
      <c r="G79" s="46"/>
    </row>
    <row r="80" spans="1:7" x14ac:dyDescent="0.25">
      <c r="A80" s="10">
        <v>75</v>
      </c>
      <c r="B80" s="39"/>
      <c r="C80" s="39"/>
      <c r="D80" s="39"/>
      <c r="E80" s="39"/>
      <c r="F80" s="46"/>
      <c r="G80" s="46"/>
    </row>
    <row r="81" spans="1:7" x14ac:dyDescent="0.25">
      <c r="A81" s="10">
        <v>76</v>
      </c>
      <c r="B81" s="39"/>
      <c r="C81" s="39"/>
      <c r="D81" s="39"/>
      <c r="E81" s="39"/>
      <c r="F81" s="46"/>
      <c r="G81" s="46"/>
    </row>
    <row r="82" spans="1:7" x14ac:dyDescent="0.25">
      <c r="A82" s="10">
        <v>77</v>
      </c>
      <c r="B82" s="39"/>
      <c r="C82" s="39"/>
      <c r="D82" s="39"/>
      <c r="E82" s="39"/>
      <c r="F82" s="46"/>
      <c r="G82" s="46"/>
    </row>
    <row r="83" spans="1:7" x14ac:dyDescent="0.25">
      <c r="A83" s="10">
        <v>78</v>
      </c>
      <c r="B83" s="39"/>
      <c r="C83" s="39"/>
      <c r="D83" s="39"/>
      <c r="E83" s="39"/>
      <c r="F83" s="46"/>
      <c r="G83" s="46"/>
    </row>
    <row r="84" spans="1:7" x14ac:dyDescent="0.25">
      <c r="A84" s="10">
        <v>79</v>
      </c>
      <c r="B84" s="39"/>
      <c r="C84" s="39"/>
      <c r="D84" s="39"/>
      <c r="E84" s="39"/>
      <c r="F84" s="46"/>
      <c r="G84" s="46"/>
    </row>
    <row r="85" spans="1:7" x14ac:dyDescent="0.25">
      <c r="A85" s="10">
        <v>80</v>
      </c>
      <c r="B85" s="39"/>
      <c r="C85" s="39"/>
      <c r="D85" s="39"/>
      <c r="E85" s="39"/>
      <c r="F85" s="46"/>
      <c r="G85" s="46"/>
    </row>
    <row r="86" spans="1:7" x14ac:dyDescent="0.25">
      <c r="A86" s="10">
        <v>81</v>
      </c>
      <c r="B86" s="39"/>
      <c r="C86" s="39"/>
      <c r="D86" s="39"/>
      <c r="E86" s="39"/>
      <c r="F86" s="46"/>
      <c r="G86" s="46"/>
    </row>
    <row r="87" spans="1:7" x14ac:dyDescent="0.25">
      <c r="A87" s="10">
        <v>82</v>
      </c>
      <c r="B87" s="39"/>
      <c r="C87" s="39"/>
      <c r="D87" s="39"/>
      <c r="E87" s="39"/>
      <c r="F87" s="46"/>
      <c r="G87" s="46"/>
    </row>
    <row r="88" spans="1:7" x14ac:dyDescent="0.25">
      <c r="A88" s="10">
        <v>83</v>
      </c>
      <c r="B88" s="39"/>
      <c r="C88" s="39"/>
      <c r="D88" s="39"/>
      <c r="E88" s="39"/>
      <c r="F88" s="46"/>
      <c r="G88" s="46"/>
    </row>
    <row r="89" spans="1:7" x14ac:dyDescent="0.25">
      <c r="A89" s="10">
        <v>84</v>
      </c>
      <c r="B89" s="39"/>
      <c r="C89" s="39"/>
      <c r="D89" s="39"/>
      <c r="E89" s="39"/>
      <c r="F89" s="46"/>
      <c r="G89" s="46"/>
    </row>
    <row r="90" spans="1:7" x14ac:dyDescent="0.25">
      <c r="A90" s="10">
        <v>85</v>
      </c>
      <c r="B90" s="39"/>
      <c r="C90" s="39"/>
      <c r="D90" s="39"/>
      <c r="E90" s="39"/>
      <c r="F90" s="46"/>
      <c r="G90" s="46"/>
    </row>
    <row r="91" spans="1:7" x14ac:dyDescent="0.25">
      <c r="A91" s="10">
        <v>86</v>
      </c>
      <c r="B91" s="39"/>
      <c r="C91" s="39"/>
      <c r="D91" s="39"/>
      <c r="E91" s="39"/>
      <c r="F91" s="46"/>
      <c r="G91" s="46"/>
    </row>
    <row r="92" spans="1:7" x14ac:dyDescent="0.25">
      <c r="A92" s="10">
        <v>87</v>
      </c>
      <c r="B92" s="39"/>
      <c r="C92" s="39"/>
      <c r="D92" s="39"/>
      <c r="E92" s="39"/>
      <c r="F92" s="46"/>
      <c r="G92" s="46"/>
    </row>
    <row r="93" spans="1:7" x14ac:dyDescent="0.25">
      <c r="A93" s="10">
        <v>88</v>
      </c>
      <c r="B93" s="39"/>
      <c r="C93" s="39"/>
      <c r="D93" s="39"/>
      <c r="E93" s="39"/>
      <c r="F93" s="46"/>
      <c r="G93" s="46"/>
    </row>
    <row r="94" spans="1:7" x14ac:dyDescent="0.25">
      <c r="A94" s="10">
        <v>89</v>
      </c>
      <c r="B94" s="39"/>
      <c r="C94" s="39"/>
      <c r="D94" s="39"/>
      <c r="E94" s="39"/>
      <c r="F94" s="46"/>
      <c r="G94" s="46"/>
    </row>
    <row r="95" spans="1:7" x14ac:dyDescent="0.25">
      <c r="A95" s="10">
        <v>90</v>
      </c>
      <c r="B95" s="39"/>
      <c r="C95" s="39"/>
      <c r="D95" s="39"/>
      <c r="E95" s="39"/>
      <c r="F95" s="46"/>
      <c r="G95" s="46"/>
    </row>
    <row r="96" spans="1:7" x14ac:dyDescent="0.25">
      <c r="A96" s="10">
        <v>91</v>
      </c>
      <c r="B96" s="39"/>
      <c r="C96" s="39"/>
      <c r="D96" s="39"/>
      <c r="E96" s="39"/>
      <c r="F96" s="46"/>
      <c r="G96" s="46"/>
    </row>
    <row r="97" spans="1:7" x14ac:dyDescent="0.25">
      <c r="A97" s="10">
        <v>92</v>
      </c>
      <c r="B97" s="39"/>
      <c r="C97" s="39"/>
      <c r="D97" s="39"/>
      <c r="E97" s="39"/>
      <c r="F97" s="46"/>
      <c r="G97" s="46"/>
    </row>
    <row r="98" spans="1:7" x14ac:dyDescent="0.25">
      <c r="A98" s="10">
        <v>93</v>
      </c>
      <c r="B98" s="39"/>
      <c r="C98" s="39"/>
      <c r="D98" s="39"/>
      <c r="E98" s="39"/>
      <c r="F98" s="46"/>
      <c r="G98" s="46"/>
    </row>
    <row r="99" spans="1:7" x14ac:dyDescent="0.25">
      <c r="A99" s="10">
        <v>94</v>
      </c>
      <c r="B99" s="39"/>
      <c r="C99" s="39"/>
      <c r="D99" s="39"/>
      <c r="E99" s="39"/>
      <c r="F99" s="46"/>
      <c r="G99" s="46"/>
    </row>
    <row r="100" spans="1:7" x14ac:dyDescent="0.25">
      <c r="A100" s="10">
        <v>95</v>
      </c>
      <c r="B100" s="39"/>
      <c r="C100" s="39"/>
      <c r="D100" s="39"/>
      <c r="E100" s="39"/>
      <c r="F100" s="46"/>
      <c r="G100" s="46"/>
    </row>
    <row r="101" spans="1:7" x14ac:dyDescent="0.25">
      <c r="A101" s="10">
        <v>96</v>
      </c>
      <c r="B101" s="39"/>
      <c r="C101" s="39"/>
      <c r="D101" s="39"/>
      <c r="E101" s="39"/>
      <c r="F101" s="46"/>
      <c r="G101" s="46"/>
    </row>
    <row r="102" spans="1:7" x14ac:dyDescent="0.25">
      <c r="A102" s="10">
        <v>97</v>
      </c>
      <c r="B102" s="39"/>
      <c r="C102" s="39"/>
      <c r="D102" s="39"/>
      <c r="E102" s="39"/>
      <c r="F102" s="46"/>
      <c r="G102" s="46"/>
    </row>
    <row r="103" spans="1:7" x14ac:dyDescent="0.25">
      <c r="A103" s="10">
        <v>98</v>
      </c>
      <c r="B103" s="39"/>
      <c r="C103" s="39"/>
      <c r="D103" s="39"/>
      <c r="E103" s="39"/>
      <c r="F103" s="46"/>
      <c r="G103" s="46"/>
    </row>
    <row r="104" spans="1:7" x14ac:dyDescent="0.25">
      <c r="A104" s="10">
        <v>99</v>
      </c>
      <c r="B104" s="39"/>
      <c r="C104" s="39"/>
      <c r="D104" s="39"/>
      <c r="E104" s="39"/>
      <c r="F104" s="46"/>
      <c r="G104" s="46"/>
    </row>
    <row r="105" spans="1:7" x14ac:dyDescent="0.25">
      <c r="A105" s="10">
        <v>100</v>
      </c>
      <c r="B105" s="39"/>
      <c r="C105" s="39"/>
      <c r="D105" s="39"/>
      <c r="E105" s="39"/>
      <c r="F105" s="46"/>
      <c r="G105" s="46"/>
    </row>
    <row r="106" spans="1:7" x14ac:dyDescent="0.25">
      <c r="A106" s="10">
        <v>101</v>
      </c>
      <c r="B106" s="39"/>
      <c r="C106" s="39"/>
      <c r="D106" s="39"/>
      <c r="E106" s="39"/>
      <c r="F106" s="46"/>
      <c r="G106" s="46"/>
    </row>
    <row r="107" spans="1:7" x14ac:dyDescent="0.25">
      <c r="A107" s="10">
        <v>102</v>
      </c>
      <c r="B107" s="39"/>
      <c r="C107" s="39"/>
      <c r="D107" s="39"/>
      <c r="E107" s="39"/>
      <c r="F107" s="46"/>
      <c r="G107" s="46"/>
    </row>
    <row r="108" spans="1:7" x14ac:dyDescent="0.25">
      <c r="A108" s="10">
        <v>103</v>
      </c>
      <c r="B108" s="39"/>
      <c r="C108" s="39"/>
      <c r="D108" s="39"/>
      <c r="E108" s="39"/>
      <c r="F108" s="46"/>
      <c r="G108" s="46"/>
    </row>
    <row r="109" spans="1:7" x14ac:dyDescent="0.25">
      <c r="A109" s="10">
        <v>104</v>
      </c>
      <c r="B109" s="39"/>
      <c r="C109" s="39"/>
      <c r="D109" s="39"/>
      <c r="E109" s="39"/>
      <c r="F109" s="46"/>
      <c r="G109" s="46"/>
    </row>
    <row r="110" spans="1:7" x14ac:dyDescent="0.25">
      <c r="A110" s="10">
        <v>105</v>
      </c>
      <c r="B110" s="39"/>
      <c r="C110" s="39"/>
      <c r="D110" s="39"/>
      <c r="E110" s="39"/>
      <c r="F110" s="46"/>
      <c r="G110" s="46"/>
    </row>
    <row r="111" spans="1:7" x14ac:dyDescent="0.25">
      <c r="A111" s="10">
        <v>106</v>
      </c>
      <c r="B111" s="39"/>
      <c r="C111" s="39"/>
      <c r="D111" s="39"/>
      <c r="E111" s="39"/>
      <c r="F111" s="46"/>
      <c r="G111" s="46"/>
    </row>
    <row r="112" spans="1:7" x14ac:dyDescent="0.25">
      <c r="A112" s="10">
        <v>107</v>
      </c>
      <c r="B112" s="38"/>
      <c r="C112" s="38"/>
      <c r="D112" s="38"/>
      <c r="E112" s="38"/>
      <c r="F112" s="45"/>
      <c r="G112" s="45"/>
    </row>
    <row r="113" spans="1:7" x14ac:dyDescent="0.25">
      <c r="A113" s="10">
        <v>108</v>
      </c>
      <c r="B113" s="38"/>
      <c r="C113" s="38"/>
      <c r="D113" s="38"/>
      <c r="E113" s="38"/>
      <c r="F113" s="45"/>
      <c r="G113" s="45"/>
    </row>
    <row r="114" spans="1:7" x14ac:dyDescent="0.25">
      <c r="A114" s="10">
        <v>109</v>
      </c>
      <c r="B114" s="38"/>
      <c r="C114" s="38"/>
      <c r="D114" s="38"/>
      <c r="E114" s="38"/>
      <c r="F114" s="45"/>
      <c r="G114" s="45"/>
    </row>
    <row r="115" spans="1:7" x14ac:dyDescent="0.25">
      <c r="A115" s="10">
        <v>110</v>
      </c>
      <c r="B115" s="38"/>
      <c r="C115" s="38"/>
      <c r="D115" s="38"/>
      <c r="E115" s="38"/>
      <c r="F115" s="45"/>
      <c r="G115" s="45"/>
    </row>
    <row r="116" spans="1:7" x14ac:dyDescent="0.25">
      <c r="A116" s="10">
        <v>111</v>
      </c>
      <c r="B116" s="38"/>
      <c r="C116" s="38"/>
      <c r="D116" s="38"/>
      <c r="E116" s="38"/>
      <c r="F116" s="45"/>
      <c r="G116" s="45"/>
    </row>
    <row r="117" spans="1:7" x14ac:dyDescent="0.25">
      <c r="A117" s="10">
        <v>112</v>
      </c>
      <c r="B117" s="38"/>
      <c r="C117" s="38"/>
      <c r="D117" s="38"/>
      <c r="E117" s="38"/>
      <c r="F117" s="45"/>
      <c r="G117" s="45"/>
    </row>
    <row r="118" spans="1:7" x14ac:dyDescent="0.25">
      <c r="A118" s="10">
        <v>113</v>
      </c>
      <c r="B118" s="38"/>
      <c r="C118" s="38"/>
      <c r="D118" s="38"/>
      <c r="E118" s="38"/>
      <c r="F118" s="45"/>
      <c r="G118" s="45"/>
    </row>
    <row r="119" spans="1:7" x14ac:dyDescent="0.25">
      <c r="A119" s="10">
        <v>114</v>
      </c>
      <c r="B119" s="38"/>
      <c r="C119" s="38"/>
      <c r="D119" s="38"/>
      <c r="E119" s="38"/>
      <c r="F119" s="45"/>
      <c r="G119" s="45"/>
    </row>
    <row r="120" spans="1:7" x14ac:dyDescent="0.25">
      <c r="A120" s="10">
        <v>115</v>
      </c>
      <c r="B120" s="38"/>
      <c r="C120" s="38"/>
      <c r="D120" s="38"/>
      <c r="E120" s="38"/>
      <c r="F120" s="45"/>
      <c r="G120" s="45"/>
    </row>
    <row r="121" spans="1:7" x14ac:dyDescent="0.25">
      <c r="A121" s="10">
        <v>116</v>
      </c>
      <c r="B121" s="38"/>
      <c r="C121" s="38"/>
      <c r="D121" s="38"/>
      <c r="E121" s="38"/>
      <c r="F121" s="45"/>
      <c r="G121" s="45"/>
    </row>
    <row r="122" spans="1:7" x14ac:dyDescent="0.25">
      <c r="A122" s="10">
        <v>117</v>
      </c>
      <c r="B122" s="38"/>
      <c r="C122" s="38"/>
      <c r="D122" s="38"/>
      <c r="E122" s="38"/>
      <c r="F122" s="45"/>
      <c r="G122" s="45"/>
    </row>
    <row r="123" spans="1:7" x14ac:dyDescent="0.25">
      <c r="A123" s="10">
        <v>118</v>
      </c>
      <c r="B123" s="38"/>
      <c r="C123" s="38"/>
      <c r="D123" s="38"/>
      <c r="E123" s="38"/>
      <c r="F123" s="45"/>
      <c r="G123" s="45"/>
    </row>
    <row r="124" spans="1:7" x14ac:dyDescent="0.25">
      <c r="A124" s="10">
        <v>119</v>
      </c>
      <c r="B124" s="38"/>
      <c r="C124" s="38"/>
      <c r="D124" s="38"/>
      <c r="E124" s="38"/>
      <c r="F124" s="45"/>
      <c r="G124" s="45"/>
    </row>
    <row r="125" spans="1:7" x14ac:dyDescent="0.25">
      <c r="A125" s="10">
        <v>120</v>
      </c>
      <c r="B125" s="38"/>
      <c r="C125" s="38"/>
      <c r="D125" s="38"/>
      <c r="E125" s="38"/>
      <c r="F125" s="45"/>
      <c r="G125" s="45"/>
    </row>
    <row r="126" spans="1:7" x14ac:dyDescent="0.25">
      <c r="A126" s="10">
        <v>121</v>
      </c>
      <c r="B126" s="38"/>
      <c r="C126" s="38"/>
      <c r="D126" s="38"/>
      <c r="E126" s="38"/>
      <c r="F126" s="45"/>
      <c r="G126" s="45"/>
    </row>
    <row r="127" spans="1:7" x14ac:dyDescent="0.25">
      <c r="A127" s="10">
        <v>122</v>
      </c>
      <c r="B127" s="38"/>
      <c r="C127" s="38"/>
      <c r="D127" s="38"/>
      <c r="E127" s="38"/>
      <c r="F127" s="45"/>
      <c r="G127" s="45"/>
    </row>
    <row r="128" spans="1:7" x14ac:dyDescent="0.25">
      <c r="A128" s="10">
        <v>123</v>
      </c>
      <c r="B128" s="38"/>
      <c r="C128" s="38"/>
      <c r="D128" s="38"/>
      <c r="E128" s="38"/>
      <c r="F128" s="45"/>
      <c r="G128" s="45"/>
    </row>
    <row r="129" spans="1:7" x14ac:dyDescent="0.25">
      <c r="A129" s="10">
        <v>124</v>
      </c>
      <c r="B129" s="38"/>
      <c r="C129" s="38"/>
      <c r="D129" s="38"/>
      <c r="E129" s="38"/>
      <c r="F129" s="45"/>
      <c r="G129" s="45"/>
    </row>
    <row r="130" spans="1:7" x14ac:dyDescent="0.25">
      <c r="A130" s="10">
        <v>125</v>
      </c>
      <c r="B130" s="38"/>
      <c r="C130" s="38"/>
      <c r="D130" s="38"/>
      <c r="E130" s="38"/>
      <c r="F130" s="45"/>
      <c r="G130" s="45"/>
    </row>
    <row r="131" spans="1:7" x14ac:dyDescent="0.25">
      <c r="A131" s="10">
        <v>126</v>
      </c>
      <c r="B131" s="38"/>
      <c r="C131" s="38"/>
      <c r="D131" s="38"/>
      <c r="E131" s="38"/>
      <c r="F131" s="45"/>
      <c r="G131" s="45"/>
    </row>
    <row r="132" spans="1:7" x14ac:dyDescent="0.25">
      <c r="A132" s="10">
        <v>127</v>
      </c>
      <c r="B132" s="38"/>
      <c r="C132" s="38"/>
      <c r="D132" s="38"/>
      <c r="E132" s="38"/>
      <c r="F132" s="45"/>
      <c r="G132" s="45"/>
    </row>
    <row r="133" spans="1:7" x14ac:dyDescent="0.25">
      <c r="A133" s="10">
        <v>128</v>
      </c>
      <c r="B133" s="38"/>
      <c r="C133" s="38"/>
      <c r="D133" s="38"/>
      <c r="E133" s="38"/>
      <c r="F133" s="45"/>
      <c r="G133" s="45"/>
    </row>
    <row r="134" spans="1:7" x14ac:dyDescent="0.25">
      <c r="A134" s="10">
        <v>129</v>
      </c>
      <c r="B134" s="38"/>
      <c r="C134" s="38"/>
      <c r="D134" s="38"/>
      <c r="E134" s="38"/>
      <c r="F134" s="45"/>
      <c r="G134" s="45"/>
    </row>
    <row r="135" spans="1:7" x14ac:dyDescent="0.25">
      <c r="A135" s="10">
        <v>130</v>
      </c>
      <c r="B135" s="38"/>
      <c r="C135" s="38"/>
      <c r="D135" s="38"/>
      <c r="E135" s="38"/>
      <c r="F135" s="45"/>
      <c r="G135" s="45"/>
    </row>
    <row r="136" spans="1:7" x14ac:dyDescent="0.25">
      <c r="A136" s="10">
        <v>131</v>
      </c>
      <c r="B136" s="38"/>
      <c r="C136" s="38"/>
      <c r="D136" s="38"/>
      <c r="E136" s="38"/>
      <c r="F136" s="45"/>
      <c r="G136" s="45"/>
    </row>
    <row r="137" spans="1:7" x14ac:dyDescent="0.25">
      <c r="A137" s="10">
        <v>132</v>
      </c>
      <c r="B137" s="38"/>
      <c r="C137" s="38"/>
      <c r="D137" s="38"/>
      <c r="E137" s="38"/>
      <c r="F137" s="45"/>
      <c r="G137" s="45"/>
    </row>
    <row r="138" spans="1:7" x14ac:dyDescent="0.25">
      <c r="A138" s="10">
        <v>133</v>
      </c>
      <c r="B138" s="38"/>
      <c r="C138" s="38"/>
      <c r="D138" s="38"/>
      <c r="E138" s="38"/>
      <c r="F138" s="45"/>
      <c r="G138" s="45"/>
    </row>
    <row r="139" spans="1:7" x14ac:dyDescent="0.25">
      <c r="A139" s="10">
        <v>134</v>
      </c>
      <c r="B139" s="38"/>
      <c r="C139" s="38"/>
      <c r="D139" s="38"/>
      <c r="E139" s="38"/>
      <c r="F139" s="45"/>
      <c r="G139" s="45"/>
    </row>
    <row r="140" spans="1:7" x14ac:dyDescent="0.25">
      <c r="A140" s="10">
        <v>135</v>
      </c>
      <c r="B140" s="38"/>
      <c r="C140" s="38"/>
      <c r="D140" s="38"/>
      <c r="E140" s="38"/>
      <c r="F140" s="45"/>
      <c r="G140" s="45"/>
    </row>
    <row r="141" spans="1:7" x14ac:dyDescent="0.25">
      <c r="A141" s="10">
        <v>136</v>
      </c>
      <c r="B141" s="38"/>
      <c r="C141" s="38"/>
      <c r="D141" s="38"/>
      <c r="E141" s="38"/>
      <c r="F141" s="45"/>
      <c r="G141" s="45"/>
    </row>
    <row r="142" spans="1:7" x14ac:dyDescent="0.25">
      <c r="A142" s="10">
        <v>137</v>
      </c>
      <c r="B142" s="38"/>
      <c r="C142" s="38"/>
      <c r="D142" s="38"/>
      <c r="E142" s="38"/>
      <c r="F142" s="45"/>
      <c r="G142" s="45"/>
    </row>
    <row r="143" spans="1:7" x14ac:dyDescent="0.25">
      <c r="A143" s="10">
        <v>138</v>
      </c>
      <c r="B143" s="38"/>
      <c r="C143" s="38"/>
      <c r="D143" s="38"/>
      <c r="E143" s="38"/>
      <c r="F143" s="45"/>
      <c r="G143" s="45"/>
    </row>
    <row r="144" spans="1:7" x14ac:dyDescent="0.25">
      <c r="A144" s="10">
        <v>139</v>
      </c>
      <c r="B144" s="38"/>
      <c r="C144" s="38"/>
      <c r="D144" s="38"/>
      <c r="E144" s="38"/>
      <c r="F144" s="45"/>
      <c r="G144" s="45"/>
    </row>
    <row r="145" spans="1:7" x14ac:dyDescent="0.25">
      <c r="A145" s="10">
        <v>140</v>
      </c>
      <c r="B145" s="38"/>
      <c r="C145" s="38"/>
      <c r="D145" s="38"/>
      <c r="E145" s="38"/>
      <c r="F145" s="45"/>
      <c r="G145" s="45"/>
    </row>
    <row r="146" spans="1:7" x14ac:dyDescent="0.25">
      <c r="A146" s="10">
        <v>141</v>
      </c>
      <c r="B146" s="38"/>
      <c r="C146" s="38"/>
      <c r="D146" s="38"/>
      <c r="E146" s="38"/>
      <c r="F146" s="45"/>
      <c r="G146" s="45"/>
    </row>
    <row r="147" spans="1:7" x14ac:dyDescent="0.25">
      <c r="A147" s="10">
        <v>142</v>
      </c>
      <c r="B147" s="38"/>
      <c r="C147" s="38"/>
      <c r="D147" s="38"/>
      <c r="E147" s="38"/>
      <c r="F147" s="45"/>
      <c r="G147" s="45"/>
    </row>
    <row r="148" spans="1:7" x14ac:dyDescent="0.25">
      <c r="A148" s="10">
        <v>143</v>
      </c>
      <c r="B148" s="38"/>
      <c r="C148" s="38"/>
      <c r="D148" s="38"/>
      <c r="E148" s="38"/>
      <c r="F148" s="45"/>
      <c r="G148" s="45"/>
    </row>
    <row r="149" spans="1:7" x14ac:dyDescent="0.25">
      <c r="A149" s="10">
        <v>144</v>
      </c>
      <c r="B149" s="38"/>
      <c r="C149" s="38"/>
      <c r="D149" s="38"/>
      <c r="E149" s="38"/>
      <c r="F149" s="45"/>
      <c r="G149" s="45"/>
    </row>
    <row r="150" spans="1:7" x14ac:dyDescent="0.25">
      <c r="A150" s="10">
        <v>145</v>
      </c>
      <c r="B150" s="38"/>
      <c r="C150" s="38"/>
      <c r="D150" s="38"/>
      <c r="E150" s="38"/>
      <c r="F150" s="45"/>
      <c r="G150" s="45"/>
    </row>
    <row r="151" spans="1:7" x14ac:dyDescent="0.25">
      <c r="A151" s="10">
        <v>146</v>
      </c>
      <c r="B151" s="38"/>
      <c r="C151" s="38"/>
      <c r="D151" s="38"/>
      <c r="E151" s="38"/>
      <c r="F151" s="45"/>
      <c r="G151" s="45"/>
    </row>
    <row r="152" spans="1:7" x14ac:dyDescent="0.25">
      <c r="A152" s="10">
        <v>147</v>
      </c>
      <c r="B152" s="38"/>
      <c r="C152" s="38"/>
      <c r="D152" s="38"/>
      <c r="E152" s="38"/>
      <c r="F152" s="45"/>
      <c r="G152" s="45"/>
    </row>
    <row r="153" spans="1:7" x14ac:dyDescent="0.25">
      <c r="A153" s="10">
        <v>148</v>
      </c>
      <c r="B153" s="38"/>
      <c r="C153" s="38"/>
      <c r="D153" s="38"/>
      <c r="E153" s="38"/>
      <c r="F153" s="45"/>
      <c r="G153" s="45"/>
    </row>
    <row r="154" spans="1:7" x14ac:dyDescent="0.25">
      <c r="A154" s="10">
        <v>149</v>
      </c>
      <c r="B154" s="38"/>
      <c r="C154" s="38"/>
      <c r="D154" s="38"/>
      <c r="E154" s="38"/>
      <c r="F154" s="45"/>
      <c r="G154" s="45"/>
    </row>
    <row r="155" spans="1:7" x14ac:dyDescent="0.25">
      <c r="A155" s="10">
        <v>150</v>
      </c>
      <c r="B155" s="38"/>
      <c r="C155" s="38"/>
      <c r="D155" s="38"/>
      <c r="E155" s="38"/>
      <c r="F155" s="45"/>
      <c r="G155" s="45"/>
    </row>
    <row r="156" spans="1:7" x14ac:dyDescent="0.25">
      <c r="A156" s="10">
        <v>151</v>
      </c>
      <c r="B156" s="38"/>
      <c r="C156" s="38"/>
      <c r="D156" s="38"/>
      <c r="E156" s="38"/>
      <c r="F156" s="45"/>
      <c r="G156" s="45"/>
    </row>
    <row r="157" spans="1:7" x14ac:dyDescent="0.25">
      <c r="A157" s="10">
        <v>152</v>
      </c>
      <c r="B157" s="38"/>
      <c r="C157" s="38"/>
      <c r="D157" s="38"/>
      <c r="E157" s="38"/>
      <c r="F157" s="45"/>
      <c r="G157" s="45"/>
    </row>
    <row r="158" spans="1:7" x14ac:dyDescent="0.25">
      <c r="A158" s="10">
        <v>153</v>
      </c>
      <c r="B158" s="38"/>
      <c r="C158" s="38"/>
      <c r="D158" s="38"/>
      <c r="E158" s="38"/>
      <c r="F158" s="45"/>
      <c r="G158" s="45"/>
    </row>
    <row r="159" spans="1:7" x14ac:dyDescent="0.25">
      <c r="A159" s="10">
        <v>154</v>
      </c>
      <c r="B159" s="38"/>
      <c r="C159" s="38"/>
      <c r="D159" s="38"/>
      <c r="E159" s="38"/>
      <c r="F159" s="45"/>
      <c r="G159" s="45"/>
    </row>
    <row r="160" spans="1:7" x14ac:dyDescent="0.25">
      <c r="A160" s="10">
        <v>155</v>
      </c>
      <c r="B160" s="38"/>
      <c r="C160" s="38"/>
      <c r="D160" s="38"/>
      <c r="E160" s="38"/>
      <c r="F160" s="45"/>
      <c r="G160" s="45"/>
    </row>
    <row r="161" spans="1:7" x14ac:dyDescent="0.25">
      <c r="A161" s="10">
        <v>156</v>
      </c>
      <c r="B161" s="38"/>
      <c r="C161" s="38"/>
      <c r="D161" s="38"/>
      <c r="E161" s="38"/>
      <c r="F161" s="45"/>
      <c r="G161" s="45"/>
    </row>
    <row r="162" spans="1:7" x14ac:dyDescent="0.25">
      <c r="A162" s="10">
        <v>157</v>
      </c>
      <c r="B162" s="38"/>
      <c r="C162" s="38"/>
      <c r="D162" s="38"/>
      <c r="E162" s="38"/>
      <c r="F162" s="45"/>
      <c r="G162" s="45"/>
    </row>
    <row r="163" spans="1:7" x14ac:dyDescent="0.25">
      <c r="A163" s="10">
        <v>158</v>
      </c>
      <c r="B163" s="38"/>
      <c r="C163" s="38"/>
      <c r="D163" s="38"/>
      <c r="E163" s="38"/>
      <c r="F163" s="45"/>
      <c r="G163" s="45"/>
    </row>
    <row r="164" spans="1:7" x14ac:dyDescent="0.25">
      <c r="A164" s="10">
        <v>159</v>
      </c>
      <c r="B164" s="38"/>
      <c r="C164" s="38"/>
      <c r="D164" s="38"/>
      <c r="E164" s="38"/>
      <c r="F164" s="45"/>
      <c r="G164" s="45"/>
    </row>
    <row r="165" spans="1:7" x14ac:dyDescent="0.25">
      <c r="A165" s="10">
        <v>160</v>
      </c>
      <c r="B165" s="38"/>
      <c r="C165" s="38"/>
      <c r="D165" s="38"/>
      <c r="E165" s="38"/>
      <c r="F165" s="45"/>
      <c r="G165" s="45"/>
    </row>
    <row r="166" spans="1:7" x14ac:dyDescent="0.25">
      <c r="A166" s="10">
        <v>161</v>
      </c>
      <c r="B166" s="38"/>
      <c r="C166" s="38"/>
      <c r="D166" s="38"/>
      <c r="E166" s="38"/>
      <c r="F166" s="45"/>
      <c r="G166" s="45"/>
    </row>
    <row r="167" spans="1:7" x14ac:dyDescent="0.25">
      <c r="A167" s="10">
        <v>162</v>
      </c>
      <c r="B167" s="38"/>
      <c r="C167" s="38"/>
      <c r="D167" s="38"/>
      <c r="E167" s="38"/>
      <c r="F167" s="45"/>
      <c r="G167" s="45"/>
    </row>
    <row r="168" spans="1:7" x14ac:dyDescent="0.25">
      <c r="A168" s="10">
        <v>163</v>
      </c>
      <c r="B168" s="38"/>
      <c r="C168" s="38"/>
      <c r="D168" s="38"/>
      <c r="E168" s="38"/>
      <c r="F168" s="45"/>
      <c r="G168" s="45"/>
    </row>
    <row r="169" spans="1:7" x14ac:dyDescent="0.25">
      <c r="A169" s="10">
        <v>164</v>
      </c>
      <c r="B169" s="38"/>
      <c r="C169" s="38"/>
      <c r="D169" s="38"/>
      <c r="E169" s="38"/>
      <c r="F169" s="45"/>
      <c r="G169" s="45"/>
    </row>
    <row r="170" spans="1:7" x14ac:dyDescent="0.25">
      <c r="A170" s="10">
        <v>165</v>
      </c>
      <c r="B170" s="38"/>
      <c r="C170" s="38"/>
      <c r="D170" s="38"/>
      <c r="E170" s="38"/>
      <c r="F170" s="45"/>
      <c r="G170" s="45"/>
    </row>
    <row r="171" spans="1:7" x14ac:dyDescent="0.25">
      <c r="A171" s="10">
        <v>166</v>
      </c>
      <c r="B171" s="38"/>
      <c r="C171" s="38"/>
      <c r="D171" s="38"/>
      <c r="E171" s="38"/>
      <c r="F171" s="45"/>
      <c r="G171" s="45"/>
    </row>
    <row r="172" spans="1:7" x14ac:dyDescent="0.25">
      <c r="A172" s="10">
        <v>167</v>
      </c>
      <c r="B172" s="38"/>
      <c r="C172" s="38"/>
      <c r="D172" s="38"/>
      <c r="E172" s="38"/>
      <c r="F172" s="45"/>
      <c r="G172" s="45"/>
    </row>
    <row r="173" spans="1:7" x14ac:dyDescent="0.25">
      <c r="A173" s="10">
        <v>168</v>
      </c>
      <c r="B173" s="38"/>
      <c r="C173" s="38"/>
      <c r="D173" s="38"/>
      <c r="E173" s="38"/>
      <c r="F173" s="45"/>
      <c r="G173" s="45"/>
    </row>
    <row r="174" spans="1:7" x14ac:dyDescent="0.25">
      <c r="A174" s="10">
        <v>169</v>
      </c>
      <c r="B174" s="38"/>
      <c r="C174" s="38"/>
      <c r="D174" s="38"/>
      <c r="E174" s="38"/>
      <c r="F174" s="45"/>
      <c r="G174" s="45"/>
    </row>
    <row r="175" spans="1:7" x14ac:dyDescent="0.25">
      <c r="A175" s="10">
        <v>170</v>
      </c>
      <c r="B175" s="38"/>
      <c r="C175" s="38"/>
      <c r="D175" s="38"/>
      <c r="E175" s="38"/>
      <c r="F175" s="45"/>
      <c r="G175" s="45"/>
    </row>
    <row r="176" spans="1:7" x14ac:dyDescent="0.25">
      <c r="A176" s="10">
        <v>171</v>
      </c>
      <c r="B176" s="38"/>
      <c r="C176" s="38"/>
      <c r="D176" s="38"/>
      <c r="E176" s="38"/>
      <c r="F176" s="45"/>
      <c r="G176" s="45"/>
    </row>
    <row r="177" spans="1:7" x14ac:dyDescent="0.25">
      <c r="A177" s="10">
        <v>172</v>
      </c>
      <c r="B177" s="38"/>
      <c r="C177" s="38"/>
      <c r="D177" s="38"/>
      <c r="E177" s="38"/>
      <c r="F177" s="45"/>
      <c r="G177" s="45"/>
    </row>
    <row r="178" spans="1:7" x14ac:dyDescent="0.25">
      <c r="A178" s="10">
        <v>173</v>
      </c>
      <c r="B178" s="38"/>
      <c r="C178" s="38"/>
      <c r="D178" s="38"/>
      <c r="E178" s="38"/>
      <c r="F178" s="45"/>
      <c r="G178" s="45"/>
    </row>
    <row r="179" spans="1:7" x14ac:dyDescent="0.25">
      <c r="A179" s="10">
        <v>174</v>
      </c>
      <c r="B179" s="38"/>
      <c r="C179" s="38"/>
      <c r="D179" s="38"/>
      <c r="E179" s="38"/>
      <c r="F179" s="45"/>
      <c r="G179" s="45"/>
    </row>
    <row r="180" spans="1:7" x14ac:dyDescent="0.25">
      <c r="A180" s="10">
        <v>175</v>
      </c>
      <c r="B180" s="38"/>
      <c r="C180" s="38"/>
      <c r="D180" s="38"/>
      <c r="E180" s="38"/>
      <c r="F180" s="45"/>
      <c r="G180" s="45"/>
    </row>
    <row r="181" spans="1:7" x14ac:dyDescent="0.25">
      <c r="A181" s="10">
        <v>176</v>
      </c>
      <c r="B181" s="38"/>
      <c r="C181" s="38"/>
      <c r="D181" s="38"/>
      <c r="E181" s="38"/>
      <c r="F181" s="45"/>
      <c r="G181" s="45"/>
    </row>
    <row r="182" spans="1:7" x14ac:dyDescent="0.25">
      <c r="A182" s="10">
        <v>177</v>
      </c>
      <c r="B182" s="38"/>
      <c r="C182" s="38"/>
      <c r="D182" s="38"/>
      <c r="E182" s="38"/>
      <c r="F182" s="45"/>
      <c r="G182" s="45"/>
    </row>
    <row r="183" spans="1:7" x14ac:dyDescent="0.25">
      <c r="A183" s="10">
        <v>178</v>
      </c>
      <c r="B183" s="38"/>
      <c r="C183" s="38"/>
      <c r="D183" s="38"/>
      <c r="E183" s="38"/>
      <c r="F183" s="45"/>
      <c r="G183" s="45"/>
    </row>
    <row r="184" spans="1:7" x14ac:dyDescent="0.25">
      <c r="A184" s="10">
        <v>179</v>
      </c>
      <c r="B184" s="38"/>
      <c r="C184" s="38"/>
      <c r="D184" s="38"/>
      <c r="E184" s="38"/>
      <c r="F184" s="45"/>
      <c r="G184" s="45"/>
    </row>
    <row r="185" spans="1:7" x14ac:dyDescent="0.25">
      <c r="A185" s="10">
        <v>180</v>
      </c>
      <c r="B185" s="38"/>
      <c r="C185" s="38"/>
      <c r="D185" s="38"/>
      <c r="E185" s="38"/>
      <c r="F185" s="45"/>
      <c r="G185" s="45"/>
    </row>
    <row r="186" spans="1:7" x14ac:dyDescent="0.25">
      <c r="A186" s="10">
        <v>181</v>
      </c>
      <c r="B186" s="38"/>
      <c r="C186" s="38"/>
      <c r="D186" s="38"/>
      <c r="E186" s="38"/>
      <c r="F186" s="45"/>
      <c r="G186" s="45"/>
    </row>
    <row r="187" spans="1:7" x14ac:dyDescent="0.25">
      <c r="A187" s="10">
        <v>182</v>
      </c>
      <c r="B187" s="38"/>
      <c r="C187" s="38"/>
      <c r="D187" s="38"/>
      <c r="E187" s="38"/>
      <c r="F187" s="45"/>
      <c r="G187" s="45"/>
    </row>
    <row r="188" spans="1:7" x14ac:dyDescent="0.25">
      <c r="A188" s="10">
        <v>183</v>
      </c>
      <c r="B188" s="38"/>
      <c r="C188" s="38"/>
      <c r="D188" s="38"/>
      <c r="E188" s="38"/>
      <c r="F188" s="45"/>
      <c r="G188" s="45"/>
    </row>
    <row r="189" spans="1:7" x14ac:dyDescent="0.25">
      <c r="A189" s="10">
        <v>184</v>
      </c>
      <c r="B189" s="38"/>
      <c r="C189" s="38"/>
      <c r="D189" s="38"/>
      <c r="E189" s="38"/>
      <c r="F189" s="45"/>
      <c r="G189" s="45"/>
    </row>
    <row r="190" spans="1:7" x14ac:dyDescent="0.25">
      <c r="A190" s="10">
        <v>185</v>
      </c>
      <c r="B190" s="38"/>
      <c r="C190" s="38"/>
      <c r="D190" s="38"/>
      <c r="E190" s="38"/>
      <c r="F190" s="45"/>
      <c r="G190" s="45"/>
    </row>
    <row r="191" spans="1:7" x14ac:dyDescent="0.25">
      <c r="A191" s="10">
        <v>186</v>
      </c>
      <c r="B191" s="38"/>
      <c r="C191" s="38"/>
      <c r="D191" s="38"/>
      <c r="E191" s="38"/>
      <c r="F191" s="45"/>
      <c r="G191" s="45"/>
    </row>
    <row r="192" spans="1:7" x14ac:dyDescent="0.25">
      <c r="A192" s="10">
        <v>187</v>
      </c>
      <c r="B192" s="38"/>
      <c r="C192" s="38"/>
      <c r="D192" s="38"/>
      <c r="E192" s="38"/>
      <c r="F192" s="45"/>
      <c r="G192" s="45"/>
    </row>
    <row r="193" spans="1:7" x14ac:dyDescent="0.25">
      <c r="A193" s="10">
        <v>188</v>
      </c>
      <c r="B193" s="38"/>
      <c r="C193" s="38"/>
      <c r="D193" s="38"/>
      <c r="E193" s="38"/>
      <c r="F193" s="45"/>
      <c r="G193" s="45"/>
    </row>
    <row r="194" spans="1:7" x14ac:dyDescent="0.25">
      <c r="A194" s="10">
        <v>189</v>
      </c>
      <c r="B194" s="38"/>
      <c r="C194" s="38"/>
      <c r="D194" s="38"/>
      <c r="E194" s="38"/>
      <c r="F194" s="45"/>
      <c r="G194" s="45"/>
    </row>
    <row r="195" spans="1:7" x14ac:dyDescent="0.25">
      <c r="A195" s="10">
        <v>190</v>
      </c>
      <c r="B195" s="38"/>
      <c r="C195" s="38"/>
      <c r="D195" s="38"/>
      <c r="E195" s="38"/>
      <c r="F195" s="45"/>
      <c r="G195" s="45"/>
    </row>
    <row r="196" spans="1:7" x14ac:dyDescent="0.25">
      <c r="A196" s="10">
        <v>191</v>
      </c>
      <c r="B196" s="38"/>
      <c r="C196" s="38"/>
      <c r="D196" s="38"/>
      <c r="E196" s="38"/>
      <c r="F196" s="45"/>
      <c r="G196" s="45"/>
    </row>
    <row r="197" spans="1:7" x14ac:dyDescent="0.25">
      <c r="A197" s="10">
        <v>192</v>
      </c>
      <c r="B197" s="38"/>
      <c r="C197" s="38"/>
      <c r="D197" s="38"/>
      <c r="E197" s="38"/>
      <c r="F197" s="45"/>
      <c r="G197" s="45"/>
    </row>
    <row r="198" spans="1:7" x14ac:dyDescent="0.25">
      <c r="A198" s="10">
        <v>193</v>
      </c>
      <c r="B198" s="38"/>
      <c r="C198" s="38"/>
      <c r="D198" s="38"/>
      <c r="E198" s="38"/>
      <c r="F198" s="45"/>
      <c r="G198" s="45"/>
    </row>
    <row r="199" spans="1:7" x14ac:dyDescent="0.25">
      <c r="A199" s="10">
        <v>194</v>
      </c>
      <c r="B199" s="38"/>
      <c r="C199" s="38"/>
      <c r="D199" s="38"/>
      <c r="E199" s="38"/>
      <c r="F199" s="45"/>
      <c r="G199" s="45"/>
    </row>
    <row r="200" spans="1:7" x14ac:dyDescent="0.25">
      <c r="A200" s="10">
        <v>195</v>
      </c>
      <c r="B200" s="38"/>
      <c r="C200" s="38"/>
      <c r="D200" s="38"/>
      <c r="E200" s="38"/>
      <c r="F200" s="45"/>
      <c r="G200" s="45"/>
    </row>
    <row r="201" spans="1:7" x14ac:dyDescent="0.25">
      <c r="A201" s="10">
        <v>196</v>
      </c>
      <c r="B201" s="38"/>
      <c r="C201" s="38"/>
      <c r="D201" s="38"/>
      <c r="E201" s="38"/>
      <c r="F201" s="45"/>
      <c r="G201" s="45"/>
    </row>
    <row r="202" spans="1:7" x14ac:dyDescent="0.25">
      <c r="A202" s="10">
        <v>197</v>
      </c>
      <c r="B202" s="38"/>
      <c r="C202" s="38"/>
      <c r="D202" s="38"/>
      <c r="E202" s="38"/>
      <c r="F202" s="45"/>
      <c r="G202" s="45"/>
    </row>
    <row r="203" spans="1:7" x14ac:dyDescent="0.25">
      <c r="A203" s="10">
        <v>198</v>
      </c>
      <c r="B203" s="38"/>
      <c r="C203" s="38"/>
      <c r="D203" s="38"/>
      <c r="E203" s="38"/>
      <c r="F203" s="45"/>
      <c r="G203" s="45"/>
    </row>
    <row r="204" spans="1:7" x14ac:dyDescent="0.25">
      <c r="A204" s="10">
        <v>199</v>
      </c>
      <c r="B204" s="38"/>
      <c r="C204" s="38"/>
      <c r="D204" s="38"/>
      <c r="E204" s="38"/>
      <c r="F204" s="45"/>
      <c r="G204" s="45"/>
    </row>
    <row r="205" spans="1:7" x14ac:dyDescent="0.25">
      <c r="A205" s="10">
        <v>200</v>
      </c>
      <c r="B205" s="38"/>
      <c r="C205" s="38"/>
      <c r="D205" s="38"/>
      <c r="E205" s="38"/>
      <c r="F205" s="45"/>
      <c r="G205" s="45"/>
    </row>
    <row r="206" spans="1:7" x14ac:dyDescent="0.25">
      <c r="A206" s="10">
        <v>201</v>
      </c>
      <c r="B206" s="38"/>
      <c r="C206" s="38"/>
      <c r="D206" s="38"/>
      <c r="E206" s="38"/>
      <c r="F206" s="45"/>
      <c r="G206" s="45"/>
    </row>
    <row r="207" spans="1:7" x14ac:dyDescent="0.25">
      <c r="A207" s="10">
        <v>202</v>
      </c>
      <c r="B207" s="38"/>
      <c r="C207" s="38"/>
      <c r="D207" s="38"/>
      <c r="E207" s="38"/>
      <c r="F207" s="45"/>
      <c r="G207" s="45"/>
    </row>
    <row r="208" spans="1:7" x14ac:dyDescent="0.25">
      <c r="A208" s="10">
        <v>203</v>
      </c>
      <c r="B208" s="38"/>
      <c r="C208" s="38"/>
      <c r="D208" s="38"/>
      <c r="E208" s="38"/>
      <c r="F208" s="45"/>
      <c r="G208" s="45"/>
    </row>
    <row r="209" spans="1:7" x14ac:dyDescent="0.25">
      <c r="A209" s="10">
        <v>204</v>
      </c>
      <c r="B209" s="38"/>
      <c r="C209" s="38"/>
      <c r="D209" s="38"/>
      <c r="E209" s="38"/>
      <c r="F209" s="45"/>
      <c r="G209" s="45"/>
    </row>
    <row r="210" spans="1:7" x14ac:dyDescent="0.25">
      <c r="A210" s="10">
        <v>205</v>
      </c>
      <c r="B210" s="38"/>
      <c r="C210" s="38"/>
      <c r="D210" s="38"/>
      <c r="E210" s="38"/>
      <c r="F210" s="45"/>
      <c r="G210" s="45"/>
    </row>
    <row r="211" spans="1:7" x14ac:dyDescent="0.25">
      <c r="A211" s="10">
        <v>206</v>
      </c>
      <c r="B211" s="38"/>
      <c r="C211" s="38"/>
      <c r="D211" s="38"/>
      <c r="E211" s="38"/>
      <c r="F211" s="45"/>
      <c r="G211" s="45"/>
    </row>
    <row r="212" spans="1:7" x14ac:dyDescent="0.25">
      <c r="A212" s="10">
        <v>207</v>
      </c>
      <c r="B212" s="38"/>
      <c r="C212" s="38"/>
      <c r="D212" s="38"/>
      <c r="E212" s="38"/>
      <c r="F212" s="45"/>
      <c r="G212" s="45"/>
    </row>
    <row r="213" spans="1:7" x14ac:dyDescent="0.25">
      <c r="A213" s="10">
        <v>208</v>
      </c>
      <c r="B213" s="38"/>
      <c r="C213" s="38"/>
      <c r="D213" s="38"/>
      <c r="E213" s="38"/>
      <c r="F213" s="45"/>
      <c r="G213" s="45"/>
    </row>
    <row r="214" spans="1:7" x14ac:dyDescent="0.25">
      <c r="A214" s="10">
        <v>209</v>
      </c>
      <c r="B214" s="38"/>
      <c r="C214" s="38"/>
      <c r="D214" s="38"/>
      <c r="E214" s="38"/>
      <c r="F214" s="45"/>
      <c r="G214" s="45"/>
    </row>
    <row r="215" spans="1:7" x14ac:dyDescent="0.25">
      <c r="A215" s="10">
        <v>210</v>
      </c>
      <c r="B215" s="38"/>
      <c r="C215" s="38"/>
      <c r="D215" s="38"/>
      <c r="E215" s="38"/>
      <c r="F215" s="45"/>
      <c r="G215" s="45"/>
    </row>
    <row r="216" spans="1:7" x14ac:dyDescent="0.25">
      <c r="A216" s="10">
        <v>211</v>
      </c>
      <c r="B216" s="38"/>
      <c r="C216" s="38"/>
      <c r="D216" s="38"/>
      <c r="E216" s="38"/>
      <c r="F216" s="45"/>
      <c r="G216" s="45"/>
    </row>
    <row r="217" spans="1:7" x14ac:dyDescent="0.25">
      <c r="A217" s="10">
        <v>212</v>
      </c>
      <c r="B217" s="38"/>
      <c r="C217" s="38"/>
      <c r="D217" s="38"/>
      <c r="E217" s="38"/>
      <c r="F217" s="45"/>
      <c r="G217" s="45"/>
    </row>
    <row r="218" spans="1:7" x14ac:dyDescent="0.25">
      <c r="A218" s="10">
        <v>213</v>
      </c>
      <c r="B218" s="38"/>
      <c r="C218" s="38"/>
      <c r="D218" s="38"/>
      <c r="E218" s="38"/>
      <c r="F218" s="45"/>
      <c r="G218" s="45"/>
    </row>
    <row r="219" spans="1:7" x14ac:dyDescent="0.25">
      <c r="A219" s="10">
        <v>214</v>
      </c>
      <c r="B219" s="38"/>
      <c r="C219" s="38"/>
      <c r="D219" s="38"/>
      <c r="E219" s="38"/>
      <c r="F219" s="45"/>
      <c r="G219" s="45"/>
    </row>
    <row r="220" spans="1:7" x14ac:dyDescent="0.25">
      <c r="A220" s="10">
        <v>215</v>
      </c>
      <c r="B220" s="38"/>
      <c r="C220" s="38"/>
      <c r="D220" s="38"/>
      <c r="E220" s="38"/>
      <c r="F220" s="45"/>
      <c r="G220" s="45"/>
    </row>
    <row r="221" spans="1:7" x14ac:dyDescent="0.25">
      <c r="A221" s="10">
        <v>216</v>
      </c>
      <c r="B221" s="38"/>
      <c r="C221" s="38"/>
      <c r="D221" s="38"/>
      <c r="E221" s="38"/>
      <c r="F221" s="45"/>
      <c r="G221" s="45"/>
    </row>
    <row r="222" spans="1:7" x14ac:dyDescent="0.25">
      <c r="A222" s="10">
        <v>217</v>
      </c>
      <c r="B222" s="38"/>
      <c r="C222" s="38"/>
      <c r="D222" s="38"/>
      <c r="E222" s="38"/>
      <c r="F222" s="45"/>
      <c r="G222" s="45"/>
    </row>
    <row r="223" spans="1:7" x14ac:dyDescent="0.25">
      <c r="A223" s="10">
        <v>218</v>
      </c>
      <c r="B223" s="38"/>
      <c r="C223" s="38"/>
      <c r="D223" s="38"/>
      <c r="E223" s="38"/>
      <c r="F223" s="45"/>
      <c r="G223" s="45"/>
    </row>
    <row r="224" spans="1:7" x14ac:dyDescent="0.25">
      <c r="A224" s="10">
        <v>219</v>
      </c>
      <c r="B224" s="38"/>
      <c r="C224" s="38"/>
      <c r="D224" s="38"/>
      <c r="E224" s="38"/>
      <c r="F224" s="45"/>
      <c r="G224" s="45"/>
    </row>
    <row r="225" spans="1:7" x14ac:dyDescent="0.25">
      <c r="A225" s="10">
        <v>220</v>
      </c>
      <c r="B225" s="38"/>
      <c r="C225" s="38"/>
      <c r="D225" s="38"/>
      <c r="E225" s="38"/>
      <c r="F225" s="45"/>
      <c r="G225" s="45"/>
    </row>
    <row r="226" spans="1:7" x14ac:dyDescent="0.25">
      <c r="A226" s="10">
        <v>221</v>
      </c>
      <c r="B226" s="38"/>
      <c r="C226" s="38"/>
      <c r="D226" s="38"/>
      <c r="E226" s="38"/>
      <c r="F226" s="45"/>
      <c r="G226" s="45"/>
    </row>
    <row r="227" spans="1:7" x14ac:dyDescent="0.25">
      <c r="A227" s="10">
        <v>222</v>
      </c>
      <c r="B227" s="38"/>
      <c r="C227" s="38"/>
      <c r="D227" s="38"/>
      <c r="E227" s="38"/>
      <c r="F227" s="45"/>
      <c r="G227" s="45"/>
    </row>
    <row r="228" spans="1:7" x14ac:dyDescent="0.25">
      <c r="A228" s="10">
        <v>223</v>
      </c>
      <c r="B228" s="38"/>
      <c r="C228" s="38"/>
      <c r="D228" s="38"/>
      <c r="E228" s="38"/>
      <c r="F228" s="45"/>
      <c r="G228" s="45"/>
    </row>
    <row r="229" spans="1:7" x14ac:dyDescent="0.25">
      <c r="A229" s="10">
        <v>224</v>
      </c>
      <c r="B229" s="38"/>
      <c r="C229" s="38"/>
      <c r="D229" s="38"/>
      <c r="E229" s="38"/>
      <c r="F229" s="45"/>
      <c r="G229" s="45"/>
    </row>
    <row r="230" spans="1:7" x14ac:dyDescent="0.25">
      <c r="A230" s="10">
        <v>225</v>
      </c>
      <c r="B230" s="38"/>
      <c r="C230" s="38"/>
      <c r="D230" s="38"/>
      <c r="E230" s="38"/>
      <c r="F230" s="45"/>
      <c r="G230" s="45"/>
    </row>
    <row r="231" spans="1:7" x14ac:dyDescent="0.25">
      <c r="A231" s="10">
        <v>226</v>
      </c>
      <c r="B231" s="38"/>
      <c r="C231" s="38"/>
      <c r="D231" s="38"/>
      <c r="E231" s="38"/>
      <c r="F231" s="45"/>
      <c r="G231" s="45"/>
    </row>
    <row r="232" spans="1:7" x14ac:dyDescent="0.25">
      <c r="A232" s="10">
        <v>227</v>
      </c>
      <c r="B232" s="38"/>
      <c r="C232" s="38"/>
      <c r="D232" s="38"/>
      <c r="E232" s="38"/>
      <c r="F232" s="45"/>
      <c r="G232" s="45"/>
    </row>
    <row r="233" spans="1:7" x14ac:dyDescent="0.25">
      <c r="A233" s="10">
        <v>228</v>
      </c>
      <c r="B233" s="38"/>
      <c r="C233" s="38"/>
      <c r="D233" s="38"/>
      <c r="E233" s="38"/>
      <c r="F233" s="45"/>
      <c r="G233" s="45"/>
    </row>
    <row r="234" spans="1:7" x14ac:dyDescent="0.25">
      <c r="A234" s="10">
        <v>229</v>
      </c>
      <c r="B234" s="38"/>
      <c r="C234" s="38"/>
      <c r="D234" s="38"/>
      <c r="E234" s="38"/>
      <c r="F234" s="45"/>
      <c r="G234" s="45"/>
    </row>
    <row r="235" spans="1:7" x14ac:dyDescent="0.25">
      <c r="A235" s="10">
        <v>230</v>
      </c>
      <c r="B235" s="38"/>
      <c r="C235" s="38"/>
      <c r="D235" s="38"/>
      <c r="E235" s="38"/>
      <c r="F235" s="45"/>
      <c r="G235" s="45"/>
    </row>
    <row r="236" spans="1:7" x14ac:dyDescent="0.25">
      <c r="A236" s="10">
        <v>231</v>
      </c>
      <c r="B236" s="38"/>
      <c r="C236" s="38"/>
      <c r="D236" s="38"/>
      <c r="E236" s="38"/>
      <c r="F236" s="45"/>
      <c r="G236" s="45"/>
    </row>
    <row r="237" spans="1:7" x14ac:dyDescent="0.25">
      <c r="A237" s="10">
        <v>232</v>
      </c>
      <c r="B237" s="38"/>
      <c r="C237" s="38"/>
      <c r="D237" s="38"/>
      <c r="E237" s="38"/>
      <c r="F237" s="45"/>
      <c r="G237" s="45"/>
    </row>
    <row r="238" spans="1:7" x14ac:dyDescent="0.25">
      <c r="A238" s="10">
        <v>233</v>
      </c>
      <c r="B238" s="38"/>
      <c r="C238" s="38"/>
      <c r="D238" s="38"/>
      <c r="E238" s="38"/>
      <c r="F238" s="45"/>
      <c r="G238" s="45"/>
    </row>
    <row r="239" spans="1:7" x14ac:dyDescent="0.25">
      <c r="A239" s="10">
        <v>234</v>
      </c>
      <c r="B239" s="38"/>
      <c r="C239" s="38"/>
      <c r="D239" s="38"/>
      <c r="E239" s="38"/>
      <c r="F239" s="45"/>
      <c r="G239" s="45"/>
    </row>
  </sheetData>
  <mergeCells count="243">
    <mergeCell ref="F86:G86"/>
    <mergeCell ref="F92:G92"/>
    <mergeCell ref="F93:G93"/>
    <mergeCell ref="F94:G94"/>
    <mergeCell ref="F95:G95"/>
    <mergeCell ref="F87:G87"/>
    <mergeCell ref="F88:G88"/>
    <mergeCell ref="F89:G89"/>
    <mergeCell ref="F90:G90"/>
    <mergeCell ref="F91:G91"/>
    <mergeCell ref="F77:G77"/>
    <mergeCell ref="F78:G78"/>
    <mergeCell ref="F79:G79"/>
    <mergeCell ref="F80:G80"/>
    <mergeCell ref="F81:G81"/>
    <mergeCell ref="F82:G82"/>
    <mergeCell ref="F83:G83"/>
    <mergeCell ref="F84:G84"/>
    <mergeCell ref="F85:G85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25:G25"/>
    <mergeCell ref="F26:G26"/>
    <mergeCell ref="F27:G27"/>
    <mergeCell ref="F28:G28"/>
    <mergeCell ref="F19:G19"/>
    <mergeCell ref="F8:G8"/>
    <mergeCell ref="F9:G9"/>
    <mergeCell ref="F10:G10"/>
    <mergeCell ref="F11:G11"/>
    <mergeCell ref="F12:G12"/>
    <mergeCell ref="F14:G14"/>
    <mergeCell ref="F15:G15"/>
    <mergeCell ref="F16:G16"/>
    <mergeCell ref="F17:G17"/>
    <mergeCell ref="F18:G18"/>
    <mergeCell ref="F13:G13"/>
    <mergeCell ref="F96:G96"/>
    <mergeCell ref="F97:G97"/>
    <mergeCell ref="F98:G98"/>
    <mergeCell ref="F99:G99"/>
    <mergeCell ref="F100:G100"/>
    <mergeCell ref="F1:G1"/>
    <mergeCell ref="A1:E1"/>
    <mergeCell ref="F5:G5"/>
    <mergeCell ref="F6:G6"/>
    <mergeCell ref="F7:G7"/>
    <mergeCell ref="F3:F4"/>
    <mergeCell ref="A3:A4"/>
    <mergeCell ref="B3:B4"/>
    <mergeCell ref="C3:C4"/>
    <mergeCell ref="D3:D4"/>
    <mergeCell ref="E3:E4"/>
    <mergeCell ref="F29:G29"/>
    <mergeCell ref="F30:G30"/>
    <mergeCell ref="F31:G31"/>
    <mergeCell ref="F20:G20"/>
    <mergeCell ref="F21:G21"/>
    <mergeCell ref="F22:G22"/>
    <mergeCell ref="F23:G23"/>
    <mergeCell ref="F24:G24"/>
    <mergeCell ref="F106:G106"/>
    <mergeCell ref="F107:G107"/>
    <mergeCell ref="F108:G108"/>
    <mergeCell ref="F109:G109"/>
    <mergeCell ref="F110:G110"/>
    <mergeCell ref="F101:G101"/>
    <mergeCell ref="F102:G102"/>
    <mergeCell ref="F103:G103"/>
    <mergeCell ref="F104:G104"/>
    <mergeCell ref="F105:G105"/>
    <mergeCell ref="F116:G116"/>
    <mergeCell ref="F117:G117"/>
    <mergeCell ref="F118:G118"/>
    <mergeCell ref="F119:G119"/>
    <mergeCell ref="F120:G120"/>
    <mergeCell ref="F111:G111"/>
    <mergeCell ref="F112:G112"/>
    <mergeCell ref="F113:G113"/>
    <mergeCell ref="F114:G114"/>
    <mergeCell ref="F115:G115"/>
    <mergeCell ref="F126:G126"/>
    <mergeCell ref="F127:G127"/>
    <mergeCell ref="F128:G128"/>
    <mergeCell ref="F129:G129"/>
    <mergeCell ref="F130:G130"/>
    <mergeCell ref="F121:G121"/>
    <mergeCell ref="F122:G122"/>
    <mergeCell ref="F123:G123"/>
    <mergeCell ref="F124:G124"/>
    <mergeCell ref="F125:G125"/>
    <mergeCell ref="F136:G136"/>
    <mergeCell ref="F137:G137"/>
    <mergeCell ref="F138:G138"/>
    <mergeCell ref="F139:G139"/>
    <mergeCell ref="F140:G140"/>
    <mergeCell ref="F131:G131"/>
    <mergeCell ref="F132:G132"/>
    <mergeCell ref="F133:G133"/>
    <mergeCell ref="F134:G134"/>
    <mergeCell ref="F135:G135"/>
    <mergeCell ref="F146:G146"/>
    <mergeCell ref="F147:G147"/>
    <mergeCell ref="F148:G148"/>
    <mergeCell ref="F149:G149"/>
    <mergeCell ref="F150:G150"/>
    <mergeCell ref="F141:G141"/>
    <mergeCell ref="F142:G142"/>
    <mergeCell ref="F143:G143"/>
    <mergeCell ref="F144:G144"/>
    <mergeCell ref="F145:G145"/>
    <mergeCell ref="F156:G156"/>
    <mergeCell ref="F157:G157"/>
    <mergeCell ref="F158:G158"/>
    <mergeCell ref="F159:G159"/>
    <mergeCell ref="F160:G160"/>
    <mergeCell ref="F151:G151"/>
    <mergeCell ref="F152:G152"/>
    <mergeCell ref="F153:G153"/>
    <mergeCell ref="F154:G154"/>
    <mergeCell ref="F155:G155"/>
    <mergeCell ref="F166:G166"/>
    <mergeCell ref="F167:G167"/>
    <mergeCell ref="F168:G168"/>
    <mergeCell ref="F169:G169"/>
    <mergeCell ref="F170:G170"/>
    <mergeCell ref="F161:G161"/>
    <mergeCell ref="F162:G162"/>
    <mergeCell ref="F163:G163"/>
    <mergeCell ref="F164:G164"/>
    <mergeCell ref="F165:G165"/>
    <mergeCell ref="F176:G176"/>
    <mergeCell ref="F177:G177"/>
    <mergeCell ref="F178:G178"/>
    <mergeCell ref="F179:G179"/>
    <mergeCell ref="F180:G180"/>
    <mergeCell ref="F171:G171"/>
    <mergeCell ref="F172:G172"/>
    <mergeCell ref="F173:G173"/>
    <mergeCell ref="F174:G174"/>
    <mergeCell ref="F175:G175"/>
    <mergeCell ref="F186:G186"/>
    <mergeCell ref="F187:G187"/>
    <mergeCell ref="F188:G188"/>
    <mergeCell ref="F189:G189"/>
    <mergeCell ref="F190:G190"/>
    <mergeCell ref="F181:G181"/>
    <mergeCell ref="F182:G182"/>
    <mergeCell ref="F183:G183"/>
    <mergeCell ref="F184:G184"/>
    <mergeCell ref="F185:G185"/>
    <mergeCell ref="F196:G196"/>
    <mergeCell ref="F197:G197"/>
    <mergeCell ref="F198:G198"/>
    <mergeCell ref="F199:G199"/>
    <mergeCell ref="F200:G200"/>
    <mergeCell ref="F191:G191"/>
    <mergeCell ref="F192:G192"/>
    <mergeCell ref="F193:G193"/>
    <mergeCell ref="F194:G194"/>
    <mergeCell ref="F195:G195"/>
    <mergeCell ref="F206:G206"/>
    <mergeCell ref="F207:G207"/>
    <mergeCell ref="F208:G208"/>
    <mergeCell ref="F209:G209"/>
    <mergeCell ref="F210:G210"/>
    <mergeCell ref="F201:G201"/>
    <mergeCell ref="F202:G202"/>
    <mergeCell ref="F203:G203"/>
    <mergeCell ref="F204:G204"/>
    <mergeCell ref="F205:G205"/>
    <mergeCell ref="F216:G216"/>
    <mergeCell ref="F217:G217"/>
    <mergeCell ref="F218:G218"/>
    <mergeCell ref="F219:G219"/>
    <mergeCell ref="F220:G220"/>
    <mergeCell ref="F211:G211"/>
    <mergeCell ref="F212:G212"/>
    <mergeCell ref="F213:G213"/>
    <mergeCell ref="F214:G214"/>
    <mergeCell ref="F215:G215"/>
    <mergeCell ref="F226:G226"/>
    <mergeCell ref="F227:G227"/>
    <mergeCell ref="F228:G228"/>
    <mergeCell ref="F229:G229"/>
    <mergeCell ref="F230:G230"/>
    <mergeCell ref="F221:G221"/>
    <mergeCell ref="F222:G222"/>
    <mergeCell ref="F223:G223"/>
    <mergeCell ref="F224:G224"/>
    <mergeCell ref="F225:G225"/>
    <mergeCell ref="F236:G236"/>
    <mergeCell ref="F237:G237"/>
    <mergeCell ref="F238:G238"/>
    <mergeCell ref="F239:G239"/>
    <mergeCell ref="F231:G231"/>
    <mergeCell ref="F232:G232"/>
    <mergeCell ref="F233:G233"/>
    <mergeCell ref="F234:G234"/>
    <mergeCell ref="F235:G235"/>
  </mergeCells>
  <phoneticPr fontId="1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2"/>
  <sheetViews>
    <sheetView workbookViewId="0">
      <pane xSplit="5" ySplit="7" topLeftCell="F11" activePane="bottomRight" state="frozen"/>
      <selection pane="topRight" activeCell="F1" sqref="F1"/>
      <selection pane="bottomLeft" activeCell="A8" sqref="A8"/>
      <selection pane="bottomRight" activeCell="A24" sqref="A24:XFD24"/>
    </sheetView>
  </sheetViews>
  <sheetFormatPr defaultRowHeight="16.5" x14ac:dyDescent="0.25"/>
  <cols>
    <col min="1" max="1" width="10.375" bestFit="1" customWidth="1"/>
    <col min="2" max="2" width="11.875" bestFit="1" customWidth="1"/>
    <col min="3" max="3" width="12.125" bestFit="1" customWidth="1"/>
    <col min="4" max="4" width="8.125" bestFit="1" customWidth="1"/>
    <col min="5" max="5" width="10.375" bestFit="1" customWidth="1"/>
    <col min="7" max="7" width="14.125" bestFit="1" customWidth="1"/>
    <col min="11" max="11" width="12.125" bestFit="1" customWidth="1"/>
  </cols>
  <sheetData>
    <row r="1" spans="1:11" x14ac:dyDescent="0.25">
      <c r="A1" s="49" t="s">
        <v>7</v>
      </c>
      <c r="B1" s="50"/>
      <c r="C1" s="50"/>
      <c r="D1" s="50"/>
      <c r="E1" s="50"/>
      <c r="F1" s="65" t="s">
        <v>45</v>
      </c>
      <c r="G1" s="66"/>
      <c r="J1" s="2"/>
      <c r="K1" s="3"/>
    </row>
    <row r="2" spans="1:1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</row>
    <row r="3" spans="1:11" x14ac:dyDescent="0.25">
      <c r="A3" s="56">
        <f>(E3-F3)/D3</f>
        <v>12.322749999999999</v>
      </c>
      <c r="B3" s="63">
        <f>E3/D3</f>
        <v>15.634673076923077</v>
      </c>
      <c r="C3" s="64">
        <f>SUM('927股價'!B2)</f>
        <v>34.729999999999997</v>
      </c>
      <c r="D3" s="55">
        <f>SUM(D6:D999)</f>
        <v>52000</v>
      </c>
      <c r="E3" s="55">
        <f>SUM(E6:E999)</f>
        <v>813003</v>
      </c>
      <c r="F3" s="55">
        <f>SUM(F6:F999)</f>
        <v>172220</v>
      </c>
      <c r="G3" s="7">
        <f>G4/E3</f>
        <v>1.4331767533453132</v>
      </c>
    </row>
    <row r="4" spans="1:11" x14ac:dyDescent="0.25">
      <c r="A4" s="56"/>
      <c r="B4" s="63"/>
      <c r="C4" s="64"/>
      <c r="D4" s="55"/>
      <c r="E4" s="55"/>
      <c r="F4" s="55"/>
      <c r="G4" s="12">
        <f>(C3-B3)*D3+F3</f>
        <v>1165176.9999999998</v>
      </c>
    </row>
    <row r="5" spans="1:11" x14ac:dyDescent="0.25">
      <c r="A5" s="13" t="s">
        <v>8</v>
      </c>
      <c r="B5" s="13" t="s">
        <v>9</v>
      </c>
      <c r="C5" s="13" t="s">
        <v>10</v>
      </c>
      <c r="D5" s="13" t="s">
        <v>11</v>
      </c>
      <c r="E5" s="13" t="s">
        <v>12</v>
      </c>
      <c r="F5" s="67" t="s">
        <v>5</v>
      </c>
      <c r="G5" s="67"/>
    </row>
    <row r="6" spans="1:11" x14ac:dyDescent="0.25">
      <c r="A6" s="9">
        <v>1</v>
      </c>
      <c r="B6" s="19">
        <v>20230606</v>
      </c>
      <c r="C6" s="19">
        <v>15</v>
      </c>
      <c r="D6" s="19">
        <v>10000</v>
      </c>
      <c r="E6" s="19">
        <v>150000</v>
      </c>
      <c r="F6" s="52"/>
      <c r="G6" s="52"/>
    </row>
    <row r="7" spans="1:11" x14ac:dyDescent="0.25">
      <c r="A7" s="9">
        <v>2</v>
      </c>
      <c r="B7" s="19">
        <v>20230606</v>
      </c>
      <c r="C7" s="19">
        <v>15.11</v>
      </c>
      <c r="D7" s="19">
        <v>5000</v>
      </c>
      <c r="E7" s="19">
        <v>75620</v>
      </c>
      <c r="F7" s="52"/>
      <c r="G7" s="52"/>
    </row>
    <row r="8" spans="1:11" x14ac:dyDescent="0.25">
      <c r="A8" s="9">
        <v>3</v>
      </c>
      <c r="B8" s="19">
        <v>20230607</v>
      </c>
      <c r="C8" s="19">
        <v>15.3</v>
      </c>
      <c r="D8" s="19">
        <v>30000</v>
      </c>
      <c r="E8" s="19">
        <v>459425</v>
      </c>
      <c r="F8" s="52"/>
      <c r="G8" s="52"/>
    </row>
    <row r="9" spans="1:11" x14ac:dyDescent="0.25">
      <c r="A9" s="9">
        <v>4</v>
      </c>
      <c r="B9" s="19">
        <v>20230811</v>
      </c>
      <c r="C9" s="19"/>
      <c r="D9" s="19"/>
      <c r="E9" s="19"/>
      <c r="F9" s="52">
        <v>9890</v>
      </c>
      <c r="G9" s="52"/>
    </row>
    <row r="10" spans="1:11" x14ac:dyDescent="0.25">
      <c r="A10" s="9">
        <v>5</v>
      </c>
      <c r="B10" s="19">
        <v>20230419</v>
      </c>
      <c r="C10" s="19">
        <v>18</v>
      </c>
      <c r="D10" s="19">
        <v>5000</v>
      </c>
      <c r="E10" s="19">
        <v>90083</v>
      </c>
      <c r="F10" s="52"/>
      <c r="G10" s="52"/>
    </row>
    <row r="11" spans="1:11" x14ac:dyDescent="0.25">
      <c r="A11" s="9">
        <v>6</v>
      </c>
      <c r="B11" s="19">
        <v>20231114</v>
      </c>
      <c r="C11" s="19"/>
      <c r="D11" s="19"/>
      <c r="E11" s="19"/>
      <c r="F11" s="52">
        <v>9890</v>
      </c>
      <c r="G11" s="52"/>
    </row>
    <row r="12" spans="1:11" x14ac:dyDescent="0.25">
      <c r="A12" s="9">
        <v>7</v>
      </c>
      <c r="B12" s="20">
        <v>20240221</v>
      </c>
      <c r="C12" s="20"/>
      <c r="D12" s="20"/>
      <c r="E12" s="20"/>
      <c r="F12" s="59">
        <v>16190</v>
      </c>
      <c r="G12" s="59"/>
    </row>
    <row r="13" spans="1:11" x14ac:dyDescent="0.25">
      <c r="A13" s="9">
        <v>8</v>
      </c>
      <c r="B13" s="20">
        <v>20240515</v>
      </c>
      <c r="C13" s="20"/>
      <c r="D13" s="20"/>
      <c r="E13" s="20"/>
      <c r="F13" s="59">
        <v>17990</v>
      </c>
      <c r="G13" s="59"/>
    </row>
    <row r="14" spans="1:11" x14ac:dyDescent="0.25">
      <c r="A14" s="9">
        <v>9</v>
      </c>
      <c r="B14" s="20">
        <v>20240726</v>
      </c>
      <c r="C14" s="20">
        <v>18.920000000000002</v>
      </c>
      <c r="D14" s="20">
        <v>2000</v>
      </c>
      <c r="E14" s="20">
        <v>37875</v>
      </c>
      <c r="F14" s="59"/>
      <c r="G14" s="59"/>
    </row>
    <row r="15" spans="1:11" x14ac:dyDescent="0.25">
      <c r="A15" s="9">
        <v>10</v>
      </c>
      <c r="B15" s="20">
        <v>20240809</v>
      </c>
      <c r="C15" s="20"/>
      <c r="D15" s="20"/>
      <c r="E15" s="20"/>
      <c r="F15" s="59">
        <v>31990</v>
      </c>
      <c r="G15" s="59"/>
    </row>
    <row r="16" spans="1:11" x14ac:dyDescent="0.25">
      <c r="A16" s="9">
        <v>11</v>
      </c>
      <c r="B16" s="20">
        <v>20241112</v>
      </c>
      <c r="C16" s="20"/>
      <c r="D16" s="20"/>
      <c r="E16" s="20"/>
      <c r="F16" s="59">
        <v>24950</v>
      </c>
      <c r="G16" s="59"/>
    </row>
    <row r="17" spans="1:7" x14ac:dyDescent="0.25">
      <c r="A17" s="9">
        <v>12</v>
      </c>
      <c r="B17" s="28">
        <v>20250221</v>
      </c>
      <c r="C17" s="28"/>
      <c r="D17" s="28"/>
      <c r="E17" s="28"/>
      <c r="F17" s="62">
        <v>19230</v>
      </c>
      <c r="G17" s="62"/>
    </row>
    <row r="18" spans="1:7" x14ac:dyDescent="0.25">
      <c r="A18" s="9">
        <v>13</v>
      </c>
      <c r="B18" s="28">
        <v>20250515</v>
      </c>
      <c r="C18" s="28"/>
      <c r="D18" s="28"/>
      <c r="E18" s="28"/>
      <c r="F18" s="62">
        <v>19230</v>
      </c>
      <c r="G18" s="62"/>
    </row>
    <row r="19" spans="1:7" x14ac:dyDescent="0.25">
      <c r="A19" s="9">
        <v>14</v>
      </c>
      <c r="B19" s="28">
        <v>20250811</v>
      </c>
      <c r="C19" s="28"/>
      <c r="D19" s="28"/>
      <c r="E19" s="28"/>
      <c r="F19" s="62">
        <v>11430</v>
      </c>
      <c r="G19" s="62"/>
    </row>
    <row r="20" spans="1:7" x14ac:dyDescent="0.25">
      <c r="A20" s="9">
        <v>15</v>
      </c>
      <c r="B20" s="28">
        <v>20251114</v>
      </c>
      <c r="C20" s="28"/>
      <c r="D20" s="28"/>
      <c r="E20" s="28"/>
      <c r="F20" s="62">
        <v>11430</v>
      </c>
      <c r="G20" s="62"/>
    </row>
    <row r="21" spans="1:7" x14ac:dyDescent="0.25">
      <c r="A21" s="9">
        <v>16</v>
      </c>
      <c r="B21" s="39"/>
      <c r="C21" s="39"/>
      <c r="D21" s="39"/>
      <c r="E21" s="39"/>
      <c r="F21" s="46"/>
      <c r="G21" s="46"/>
    </row>
    <row r="22" spans="1:7" x14ac:dyDescent="0.25">
      <c r="A22" s="9">
        <v>17</v>
      </c>
      <c r="B22" s="39"/>
      <c r="C22" s="39"/>
      <c r="D22" s="39"/>
      <c r="E22" s="39"/>
      <c r="F22" s="46"/>
      <c r="G22" s="46"/>
    </row>
    <row r="23" spans="1:7" x14ac:dyDescent="0.25">
      <c r="A23" s="9">
        <v>18</v>
      </c>
      <c r="B23" s="39"/>
      <c r="C23" s="39"/>
      <c r="D23" s="39"/>
      <c r="E23" s="39"/>
      <c r="F23" s="46"/>
      <c r="G23" s="46"/>
    </row>
    <row r="24" spans="1:7" x14ac:dyDescent="0.25">
      <c r="A24" s="9">
        <v>19</v>
      </c>
      <c r="B24" s="39"/>
      <c r="C24" s="39"/>
      <c r="D24" s="39"/>
      <c r="E24" s="39"/>
      <c r="F24" s="46"/>
      <c r="G24" s="46"/>
    </row>
    <row r="25" spans="1:7" x14ac:dyDescent="0.25">
      <c r="A25" s="9">
        <v>20</v>
      </c>
      <c r="B25" s="6"/>
      <c r="C25" s="6"/>
      <c r="D25" s="6"/>
      <c r="E25" s="6"/>
      <c r="F25" s="68"/>
      <c r="G25" s="68"/>
    </row>
    <row r="26" spans="1:7" x14ac:dyDescent="0.25">
      <c r="A26" s="9">
        <v>21</v>
      </c>
      <c r="B26" s="6"/>
      <c r="C26" s="6"/>
      <c r="D26" s="6"/>
      <c r="E26" s="6"/>
      <c r="F26" s="68"/>
      <c r="G26" s="68"/>
    </row>
    <row r="27" spans="1:7" x14ac:dyDescent="0.25">
      <c r="A27" s="9">
        <v>22</v>
      </c>
      <c r="B27" s="6"/>
      <c r="C27" s="6"/>
      <c r="D27" s="6"/>
      <c r="E27" s="6"/>
      <c r="F27" s="68"/>
      <c r="G27" s="68"/>
    </row>
    <row r="28" spans="1:7" x14ac:dyDescent="0.25">
      <c r="A28" s="9">
        <v>23</v>
      </c>
      <c r="B28" s="6"/>
      <c r="C28" s="6"/>
      <c r="D28" s="6"/>
      <c r="E28" s="6"/>
      <c r="F28" s="68"/>
      <c r="G28" s="68"/>
    </row>
    <row r="29" spans="1:7" x14ac:dyDescent="0.25">
      <c r="A29" s="9">
        <v>24</v>
      </c>
      <c r="B29" s="6"/>
      <c r="C29" s="6"/>
      <c r="D29" s="6"/>
      <c r="E29" s="6"/>
      <c r="F29" s="68"/>
      <c r="G29" s="68"/>
    </row>
    <row r="30" spans="1:7" x14ac:dyDescent="0.25">
      <c r="A30" s="9">
        <v>25</v>
      </c>
      <c r="B30" s="6"/>
      <c r="C30" s="6"/>
      <c r="D30" s="6"/>
      <c r="E30" s="6"/>
      <c r="F30" s="68"/>
      <c r="G30" s="68"/>
    </row>
    <row r="31" spans="1:7" x14ac:dyDescent="0.25">
      <c r="A31" s="9">
        <v>26</v>
      </c>
      <c r="B31" s="6"/>
      <c r="C31" s="6"/>
      <c r="D31" s="6"/>
      <c r="E31" s="6"/>
      <c r="F31" s="68"/>
      <c r="G31" s="68"/>
    </row>
    <row r="32" spans="1:7" x14ac:dyDescent="0.25">
      <c r="A32" s="9">
        <v>27</v>
      </c>
      <c r="B32" s="6"/>
      <c r="C32" s="6"/>
      <c r="D32" s="6"/>
      <c r="E32" s="6"/>
      <c r="F32" s="68"/>
      <c r="G32" s="68"/>
    </row>
    <row r="33" spans="1:7" x14ac:dyDescent="0.25">
      <c r="A33" s="9">
        <v>28</v>
      </c>
      <c r="B33" s="6"/>
      <c r="C33" s="6"/>
      <c r="D33" s="6"/>
      <c r="E33" s="6"/>
      <c r="F33" s="68"/>
      <c r="G33" s="68"/>
    </row>
    <row r="34" spans="1:7" x14ac:dyDescent="0.25">
      <c r="A34" s="9">
        <v>29</v>
      </c>
      <c r="B34" s="6"/>
      <c r="C34" s="6"/>
      <c r="D34" s="6"/>
      <c r="E34" s="6"/>
      <c r="F34" s="68"/>
      <c r="G34" s="68"/>
    </row>
    <row r="35" spans="1:7" x14ac:dyDescent="0.25">
      <c r="A35" s="9">
        <v>30</v>
      </c>
      <c r="B35" s="6"/>
      <c r="C35" s="6"/>
      <c r="D35" s="6"/>
      <c r="E35" s="6"/>
      <c r="F35" s="68"/>
      <c r="G35" s="68"/>
    </row>
    <row r="36" spans="1:7" x14ac:dyDescent="0.25">
      <c r="A36" s="9">
        <v>31</v>
      </c>
      <c r="B36" s="6"/>
      <c r="C36" s="6"/>
      <c r="D36" s="6"/>
      <c r="E36" s="6"/>
      <c r="F36" s="68"/>
      <c r="G36" s="68"/>
    </row>
    <row r="37" spans="1:7" x14ac:dyDescent="0.25">
      <c r="A37" s="9">
        <v>32</v>
      </c>
      <c r="B37" s="6"/>
      <c r="C37" s="6"/>
      <c r="D37" s="6"/>
      <c r="E37" s="6"/>
      <c r="F37" s="68"/>
      <c r="G37" s="68"/>
    </row>
    <row r="38" spans="1:7" x14ac:dyDescent="0.25">
      <c r="A38" s="9">
        <v>33</v>
      </c>
      <c r="B38" s="6"/>
      <c r="C38" s="6"/>
      <c r="D38" s="6"/>
      <c r="E38" s="6"/>
      <c r="F38" s="68"/>
      <c r="G38" s="68"/>
    </row>
    <row r="39" spans="1:7" x14ac:dyDescent="0.25">
      <c r="A39" s="9">
        <v>34</v>
      </c>
      <c r="B39" s="6"/>
      <c r="C39" s="6"/>
      <c r="D39" s="6"/>
      <c r="E39" s="6"/>
      <c r="F39" s="68"/>
      <c r="G39" s="68"/>
    </row>
    <row r="40" spans="1:7" x14ac:dyDescent="0.25">
      <c r="A40" s="9">
        <v>35</v>
      </c>
      <c r="B40" s="6"/>
      <c r="C40" s="6"/>
      <c r="D40" s="6"/>
      <c r="E40" s="6"/>
      <c r="F40" s="68"/>
      <c r="G40" s="68"/>
    </row>
    <row r="41" spans="1:7" x14ac:dyDescent="0.25">
      <c r="A41" s="9">
        <v>36</v>
      </c>
      <c r="B41" s="6"/>
      <c r="C41" s="6"/>
      <c r="D41" s="6"/>
      <c r="E41" s="6"/>
      <c r="F41" s="68"/>
      <c r="G41" s="68"/>
    </row>
    <row r="42" spans="1:7" x14ac:dyDescent="0.25">
      <c r="A42" s="9">
        <v>37</v>
      </c>
      <c r="B42" s="6"/>
      <c r="C42" s="6"/>
      <c r="D42" s="6"/>
      <c r="E42" s="6"/>
      <c r="F42" s="68"/>
      <c r="G42" s="68"/>
    </row>
  </sheetData>
  <mergeCells count="46">
    <mergeCell ref="F39:G39"/>
    <mergeCell ref="F40:G40"/>
    <mergeCell ref="F41:G41"/>
    <mergeCell ref="F42:G42"/>
    <mergeCell ref="F34:G34"/>
    <mergeCell ref="F35:G35"/>
    <mergeCell ref="F36:G36"/>
    <mergeCell ref="F37:G37"/>
    <mergeCell ref="F38:G38"/>
    <mergeCell ref="F33:G33"/>
    <mergeCell ref="F27:G27"/>
    <mergeCell ref="F28:G28"/>
    <mergeCell ref="F29:G29"/>
    <mergeCell ref="F30:G30"/>
    <mergeCell ref="F31:G31"/>
    <mergeCell ref="F32:G32"/>
    <mergeCell ref="F12:G12"/>
    <mergeCell ref="F13:G13"/>
    <mergeCell ref="F26:G26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14:G14"/>
    <mergeCell ref="A1:E1"/>
    <mergeCell ref="F1:G1"/>
    <mergeCell ref="F5:G5"/>
    <mergeCell ref="F6:G6"/>
    <mergeCell ref="F7:G7"/>
    <mergeCell ref="F9:G9"/>
    <mergeCell ref="F10:G10"/>
    <mergeCell ref="F11:G11"/>
    <mergeCell ref="F8:G8"/>
    <mergeCell ref="A3:A4"/>
    <mergeCell ref="B3:B4"/>
    <mergeCell ref="C3:C4"/>
    <mergeCell ref="D3:D4"/>
    <mergeCell ref="E3:E4"/>
    <mergeCell ref="F3:F4"/>
  </mergeCells>
  <phoneticPr fontId="1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59"/>
  <sheetViews>
    <sheetView workbookViewId="0">
      <pane xSplit="5" ySplit="7" topLeftCell="F17" activePane="bottomRight" state="frozen"/>
      <selection pane="topRight" activeCell="F1" sqref="F1"/>
      <selection pane="bottomLeft" activeCell="A8" sqref="A8"/>
      <selection pane="bottomRight" activeCell="B10" sqref="B10"/>
    </sheetView>
  </sheetViews>
  <sheetFormatPr defaultRowHeight="16.5" x14ac:dyDescent="0.25"/>
  <cols>
    <col min="1" max="1" width="10.375" customWidth="1"/>
    <col min="2" max="2" width="13.875" customWidth="1"/>
    <col min="3" max="3" width="12.125" bestFit="1" customWidth="1"/>
    <col min="4" max="4" width="9.625" customWidth="1"/>
    <col min="5" max="5" width="12.5" customWidth="1"/>
    <col min="7" max="7" width="14.125" bestFit="1" customWidth="1"/>
    <col min="11" max="11" width="12.125" bestFit="1" customWidth="1"/>
  </cols>
  <sheetData>
    <row r="1" spans="1:11" x14ac:dyDescent="0.25">
      <c r="A1" s="49" t="s">
        <v>7</v>
      </c>
      <c r="B1" s="50"/>
      <c r="C1" s="50"/>
      <c r="D1" s="50"/>
      <c r="E1" s="50"/>
      <c r="F1" s="65" t="s">
        <v>44</v>
      </c>
      <c r="G1" s="66"/>
      <c r="J1" s="2"/>
      <c r="K1" s="3"/>
    </row>
    <row r="2" spans="1:1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11" x14ac:dyDescent="0.25">
      <c r="A3" s="56">
        <f>(E3-F3)/D3</f>
        <v>16.184260539046303</v>
      </c>
      <c r="B3" s="63">
        <f>E3/D3</f>
        <v>21.121515779774246</v>
      </c>
      <c r="C3" s="69">
        <f>SUM('919股價'!B2)</f>
        <v>25.47</v>
      </c>
      <c r="D3" s="55">
        <f>SUM(D6:D999)</f>
        <v>34728</v>
      </c>
      <c r="E3" s="55">
        <f>SUM(E6:E999)</f>
        <v>733508</v>
      </c>
      <c r="F3" s="55">
        <f>SUM(F6:F999)</f>
        <v>171461</v>
      </c>
      <c r="G3" s="7">
        <f>G4/E3</f>
        <v>0.43963414168625281</v>
      </c>
    </row>
    <row r="4" spans="1:11" x14ac:dyDescent="0.25">
      <c r="A4" s="56"/>
      <c r="B4" s="63"/>
      <c r="C4" s="69"/>
      <c r="D4" s="55"/>
      <c r="E4" s="55"/>
      <c r="F4" s="55"/>
      <c r="G4" s="8">
        <f>(C3-B3)*D3+F3</f>
        <v>322475.15999999992</v>
      </c>
    </row>
    <row r="5" spans="1:11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1" t="s">
        <v>5</v>
      </c>
      <c r="G5" s="51"/>
    </row>
    <row r="6" spans="1:11" x14ac:dyDescent="0.25">
      <c r="A6" s="9">
        <v>1</v>
      </c>
      <c r="B6" s="19">
        <v>20230607</v>
      </c>
      <c r="C6" s="19">
        <v>19.57</v>
      </c>
      <c r="D6" s="19">
        <v>20000</v>
      </c>
      <c r="E6" s="19">
        <v>391762</v>
      </c>
      <c r="F6" s="52"/>
      <c r="G6" s="52"/>
    </row>
    <row r="7" spans="1:11" x14ac:dyDescent="0.25">
      <c r="A7" s="9">
        <v>2</v>
      </c>
      <c r="B7" s="19">
        <v>20230714</v>
      </c>
      <c r="C7" s="19"/>
      <c r="D7" s="19"/>
      <c r="E7" s="19"/>
      <c r="F7" s="52">
        <v>10790</v>
      </c>
      <c r="G7" s="52"/>
    </row>
    <row r="8" spans="1:11" x14ac:dyDescent="0.25">
      <c r="A8" s="9">
        <v>3</v>
      </c>
      <c r="B8" s="19">
        <v>20231017</v>
      </c>
      <c r="C8" s="19"/>
      <c r="D8" s="19"/>
      <c r="E8" s="19"/>
      <c r="F8" s="52">
        <v>10790</v>
      </c>
      <c r="G8" s="52"/>
    </row>
    <row r="9" spans="1:11" x14ac:dyDescent="0.25">
      <c r="A9" s="9">
        <v>4</v>
      </c>
      <c r="B9" s="19">
        <v>20231225</v>
      </c>
      <c r="C9" s="19">
        <v>22.17</v>
      </c>
      <c r="D9" s="19">
        <v>246</v>
      </c>
      <c r="E9" s="19">
        <v>5455</v>
      </c>
      <c r="F9" s="52"/>
      <c r="G9" s="52"/>
    </row>
    <row r="10" spans="1:11" x14ac:dyDescent="0.25">
      <c r="A10" s="9">
        <v>5</v>
      </c>
      <c r="B10" s="20">
        <v>20240112</v>
      </c>
      <c r="C10" s="20"/>
      <c r="D10" s="20"/>
      <c r="E10" s="20"/>
      <c r="F10" s="59">
        <v>10990</v>
      </c>
      <c r="G10" s="59"/>
    </row>
    <row r="11" spans="1:11" x14ac:dyDescent="0.25">
      <c r="A11" s="9">
        <v>6</v>
      </c>
      <c r="B11" s="20">
        <v>20240125</v>
      </c>
      <c r="C11" s="20">
        <v>22.28</v>
      </c>
      <c r="D11" s="20">
        <v>245</v>
      </c>
      <c r="E11" s="20">
        <v>5460</v>
      </c>
      <c r="F11" s="59"/>
      <c r="G11" s="59"/>
    </row>
    <row r="12" spans="1:11" x14ac:dyDescent="0.25">
      <c r="A12" s="9">
        <v>7</v>
      </c>
      <c r="B12" s="20">
        <v>20240226</v>
      </c>
      <c r="C12" s="20">
        <v>23.66</v>
      </c>
      <c r="D12" s="20">
        <v>230</v>
      </c>
      <c r="E12" s="20">
        <v>5442</v>
      </c>
      <c r="F12" s="59"/>
      <c r="G12" s="59"/>
    </row>
    <row r="13" spans="1:11" x14ac:dyDescent="0.25">
      <c r="A13" s="9">
        <v>8</v>
      </c>
      <c r="B13" s="20">
        <v>20240325</v>
      </c>
      <c r="C13" s="20">
        <v>25.55</v>
      </c>
      <c r="D13" s="20">
        <v>214</v>
      </c>
      <c r="E13" s="20">
        <v>5469</v>
      </c>
      <c r="F13" s="59"/>
      <c r="G13" s="59"/>
    </row>
    <row r="14" spans="1:11" x14ac:dyDescent="0.25">
      <c r="A14" s="9">
        <v>9</v>
      </c>
      <c r="B14" s="20">
        <v>20240326</v>
      </c>
      <c r="C14" s="20">
        <v>24.63</v>
      </c>
      <c r="D14" s="20">
        <v>1000</v>
      </c>
      <c r="E14" s="20">
        <v>24653</v>
      </c>
      <c r="F14" s="59"/>
      <c r="G14" s="59"/>
    </row>
    <row r="15" spans="1:11" x14ac:dyDescent="0.25">
      <c r="A15" s="9">
        <v>10</v>
      </c>
      <c r="B15" s="20">
        <v>20240326</v>
      </c>
      <c r="C15" s="20">
        <v>24.6</v>
      </c>
      <c r="D15" s="20">
        <v>1000</v>
      </c>
      <c r="E15" s="20">
        <v>24623</v>
      </c>
      <c r="F15" s="59"/>
      <c r="G15" s="59"/>
    </row>
    <row r="16" spans="1:11" x14ac:dyDescent="0.25">
      <c r="A16" s="9">
        <v>11</v>
      </c>
      <c r="B16" s="20">
        <v>20240415</v>
      </c>
      <c r="C16" s="20"/>
      <c r="D16" s="20"/>
      <c r="E16" s="20"/>
      <c r="F16" s="59">
        <v>13666</v>
      </c>
      <c r="G16" s="59"/>
    </row>
    <row r="17" spans="1:14" x14ac:dyDescent="0.25">
      <c r="A17" s="9">
        <v>12</v>
      </c>
      <c r="B17" s="20">
        <v>20240425</v>
      </c>
      <c r="C17" s="20">
        <v>24.39</v>
      </c>
      <c r="D17" s="20">
        <v>223</v>
      </c>
      <c r="E17" s="20">
        <v>5440</v>
      </c>
      <c r="F17" s="59"/>
      <c r="G17" s="59"/>
    </row>
    <row r="18" spans="1:14" x14ac:dyDescent="0.25">
      <c r="A18" s="9">
        <v>13</v>
      </c>
      <c r="B18" s="20">
        <v>20240527</v>
      </c>
      <c r="C18" s="20">
        <v>25.73</v>
      </c>
      <c r="D18" s="20">
        <v>213</v>
      </c>
      <c r="E18" s="20">
        <v>5481</v>
      </c>
      <c r="F18" s="59"/>
      <c r="G18" s="59"/>
    </row>
    <row r="19" spans="1:14" x14ac:dyDescent="0.25">
      <c r="A19" s="9">
        <v>14</v>
      </c>
      <c r="B19" s="20">
        <v>20240625</v>
      </c>
      <c r="C19" s="20">
        <v>25.77</v>
      </c>
      <c r="D19" s="20">
        <v>210</v>
      </c>
      <c r="E19" s="20">
        <v>5413</v>
      </c>
      <c r="F19" s="59"/>
      <c r="G19" s="59"/>
    </row>
    <row r="20" spans="1:14" x14ac:dyDescent="0.25">
      <c r="A20" s="9">
        <v>15</v>
      </c>
      <c r="B20" s="20">
        <v>20240715</v>
      </c>
      <c r="C20" s="20"/>
      <c r="D20" s="20"/>
      <c r="E20" s="20"/>
      <c r="F20" s="59">
        <v>16350</v>
      </c>
      <c r="G20" s="59"/>
    </row>
    <row r="21" spans="1:14" x14ac:dyDescent="0.25">
      <c r="A21" s="9">
        <v>16</v>
      </c>
      <c r="B21" s="20">
        <v>20240726</v>
      </c>
      <c r="C21" s="20">
        <v>24.28</v>
      </c>
      <c r="D21" s="20">
        <v>220</v>
      </c>
      <c r="E21" s="20">
        <v>5343</v>
      </c>
      <c r="F21" s="59"/>
      <c r="G21" s="59"/>
    </row>
    <row r="22" spans="1:14" x14ac:dyDescent="0.25">
      <c r="A22" s="9">
        <v>17</v>
      </c>
      <c r="B22" s="20">
        <v>20240805</v>
      </c>
      <c r="C22" s="20">
        <v>22.65</v>
      </c>
      <c r="D22" s="20">
        <v>6000</v>
      </c>
      <c r="E22" s="20">
        <v>136026</v>
      </c>
      <c r="F22" s="59"/>
      <c r="G22" s="59"/>
    </row>
    <row r="23" spans="1:14" x14ac:dyDescent="0.25">
      <c r="A23" s="9">
        <v>18</v>
      </c>
      <c r="B23" s="20">
        <v>20240815</v>
      </c>
      <c r="C23" s="20">
        <v>24.48</v>
      </c>
      <c r="D23" s="20">
        <v>93</v>
      </c>
      <c r="E23" s="20">
        <v>2277</v>
      </c>
      <c r="F23" s="59"/>
      <c r="G23" s="59"/>
    </row>
    <row r="24" spans="1:14" x14ac:dyDescent="0.25">
      <c r="A24" s="9">
        <v>19</v>
      </c>
      <c r="B24" s="20">
        <v>20240826</v>
      </c>
      <c r="C24" s="20">
        <v>24.86</v>
      </c>
      <c r="D24" s="20">
        <v>92</v>
      </c>
      <c r="E24" s="20">
        <v>2288</v>
      </c>
      <c r="F24" s="59"/>
      <c r="G24" s="59"/>
    </row>
    <row r="25" spans="1:14" x14ac:dyDescent="0.25">
      <c r="A25" s="9">
        <v>20</v>
      </c>
      <c r="B25" s="20">
        <v>20240905</v>
      </c>
      <c r="C25" s="20">
        <v>24.41</v>
      </c>
      <c r="D25" s="20">
        <v>93</v>
      </c>
      <c r="E25" s="20">
        <v>2271</v>
      </c>
      <c r="F25" s="59"/>
      <c r="G25" s="59"/>
    </row>
    <row r="26" spans="1:14" x14ac:dyDescent="0.25">
      <c r="A26" s="9">
        <v>21</v>
      </c>
      <c r="B26" s="20">
        <v>20240916</v>
      </c>
      <c r="C26" s="20">
        <v>24.08</v>
      </c>
      <c r="D26" s="20">
        <v>94</v>
      </c>
      <c r="E26" s="20">
        <v>2265</v>
      </c>
      <c r="F26" s="59"/>
      <c r="G26" s="59"/>
    </row>
    <row r="27" spans="1:14" x14ac:dyDescent="0.25">
      <c r="A27" s="9">
        <v>22</v>
      </c>
      <c r="B27" s="20">
        <v>20241007</v>
      </c>
      <c r="C27" s="20">
        <v>23.48</v>
      </c>
      <c r="D27" s="20">
        <v>97</v>
      </c>
      <c r="E27" s="20">
        <v>2279</v>
      </c>
      <c r="F27" s="59"/>
      <c r="G27" s="59"/>
    </row>
    <row r="28" spans="1:14" x14ac:dyDescent="0.25">
      <c r="A28" s="9">
        <v>23</v>
      </c>
      <c r="B28" s="20">
        <v>20241015</v>
      </c>
      <c r="C28" s="20">
        <v>23.6</v>
      </c>
      <c r="D28" s="20">
        <v>96</v>
      </c>
      <c r="E28" s="20">
        <v>2266</v>
      </c>
      <c r="F28" s="59"/>
      <c r="G28" s="59"/>
    </row>
    <row r="29" spans="1:14" x14ac:dyDescent="0.25">
      <c r="A29" s="9">
        <v>24</v>
      </c>
      <c r="B29" s="20">
        <v>20241015</v>
      </c>
      <c r="C29" s="20"/>
      <c r="D29" s="20"/>
      <c r="E29" s="20"/>
      <c r="F29" s="59">
        <v>21715</v>
      </c>
      <c r="G29" s="59"/>
      <c r="N29">
        <f ca="1">N29</f>
        <v>0</v>
      </c>
    </row>
    <row r="30" spans="1:14" x14ac:dyDescent="0.25">
      <c r="A30" s="9">
        <v>25</v>
      </c>
      <c r="B30" s="20">
        <v>20241025</v>
      </c>
      <c r="C30" s="20">
        <v>23.75</v>
      </c>
      <c r="D30" s="20">
        <v>95</v>
      </c>
      <c r="E30" s="20">
        <v>2257</v>
      </c>
      <c r="F30" s="59"/>
      <c r="G30" s="59"/>
    </row>
    <row r="31" spans="1:14" x14ac:dyDescent="0.25">
      <c r="A31" s="9">
        <v>26</v>
      </c>
      <c r="B31" s="20">
        <v>20241105</v>
      </c>
      <c r="C31" s="20">
        <v>23.07</v>
      </c>
      <c r="D31" s="20">
        <v>98</v>
      </c>
      <c r="E31" s="20">
        <v>2262</v>
      </c>
      <c r="F31" s="59"/>
      <c r="G31" s="59"/>
    </row>
    <row r="32" spans="1:14" x14ac:dyDescent="0.25">
      <c r="A32" s="9">
        <v>27</v>
      </c>
      <c r="B32" s="20">
        <v>20241115</v>
      </c>
      <c r="C32" s="20">
        <v>23.3</v>
      </c>
      <c r="D32" s="20">
        <v>98</v>
      </c>
      <c r="E32" s="20">
        <v>2284</v>
      </c>
      <c r="F32" s="59"/>
      <c r="G32" s="59"/>
    </row>
    <row r="33" spans="1:7" x14ac:dyDescent="0.25">
      <c r="A33" s="9">
        <v>28</v>
      </c>
      <c r="B33" s="20">
        <v>20241125</v>
      </c>
      <c r="C33" s="20">
        <v>23.75</v>
      </c>
      <c r="D33" s="20">
        <v>96</v>
      </c>
      <c r="E33" s="20">
        <v>2281</v>
      </c>
      <c r="F33" s="59"/>
      <c r="G33" s="59"/>
    </row>
    <row r="34" spans="1:7" x14ac:dyDescent="0.25">
      <c r="A34" s="9">
        <v>29</v>
      </c>
      <c r="B34" s="20">
        <v>20241205</v>
      </c>
      <c r="C34" s="20">
        <v>23.73</v>
      </c>
      <c r="D34" s="20">
        <v>95</v>
      </c>
      <c r="E34" s="20">
        <v>2255</v>
      </c>
      <c r="F34" s="59"/>
      <c r="G34" s="59"/>
    </row>
    <row r="35" spans="1:7" x14ac:dyDescent="0.25">
      <c r="A35" s="9">
        <v>30</v>
      </c>
      <c r="B35" s="20">
        <v>20241216</v>
      </c>
      <c r="C35" s="20">
        <v>23.85</v>
      </c>
      <c r="D35" s="20">
        <v>95</v>
      </c>
      <c r="E35" s="20">
        <v>2267</v>
      </c>
      <c r="F35" s="59"/>
      <c r="G35" s="59"/>
    </row>
    <row r="36" spans="1:7" x14ac:dyDescent="0.25">
      <c r="A36" s="9">
        <v>31</v>
      </c>
      <c r="B36" s="20">
        <v>20241225</v>
      </c>
      <c r="C36" s="20">
        <v>23.48</v>
      </c>
      <c r="D36" s="20">
        <v>97</v>
      </c>
      <c r="E36" s="20">
        <v>2279</v>
      </c>
      <c r="F36" s="59"/>
      <c r="G36" s="59"/>
    </row>
    <row r="37" spans="1:7" x14ac:dyDescent="0.25">
      <c r="A37" s="9">
        <v>32</v>
      </c>
      <c r="B37" s="28">
        <v>20250106</v>
      </c>
      <c r="C37" s="28">
        <v>23.42</v>
      </c>
      <c r="D37" s="28">
        <v>97</v>
      </c>
      <c r="E37" s="28">
        <v>2273</v>
      </c>
      <c r="F37" s="62"/>
      <c r="G37" s="62"/>
    </row>
    <row r="38" spans="1:7" x14ac:dyDescent="0.25">
      <c r="A38" s="9">
        <v>33</v>
      </c>
      <c r="B38" s="28">
        <v>20250113</v>
      </c>
      <c r="C38" s="28"/>
      <c r="D38" s="28"/>
      <c r="E38" s="28"/>
      <c r="F38" s="62">
        <v>22337</v>
      </c>
      <c r="G38" s="62"/>
    </row>
    <row r="39" spans="1:7" x14ac:dyDescent="0.25">
      <c r="A39" s="9">
        <v>34</v>
      </c>
      <c r="B39" s="28">
        <v>20250115</v>
      </c>
      <c r="C39" s="28">
        <v>22.9</v>
      </c>
      <c r="D39" s="28">
        <v>99</v>
      </c>
      <c r="E39" s="28">
        <v>2268</v>
      </c>
      <c r="F39" s="62"/>
      <c r="G39" s="62"/>
    </row>
    <row r="40" spans="1:7" x14ac:dyDescent="0.25">
      <c r="A40" s="9">
        <v>35</v>
      </c>
      <c r="B40" s="28">
        <v>20250203</v>
      </c>
      <c r="C40" s="28">
        <v>23.14</v>
      </c>
      <c r="D40" s="28">
        <v>98</v>
      </c>
      <c r="E40" s="28">
        <v>2269</v>
      </c>
      <c r="F40" s="62"/>
      <c r="G40" s="62"/>
    </row>
    <row r="41" spans="1:7" x14ac:dyDescent="0.25">
      <c r="A41" s="9">
        <v>36</v>
      </c>
      <c r="B41" s="28">
        <v>20250205</v>
      </c>
      <c r="C41" s="28">
        <v>23.05</v>
      </c>
      <c r="D41" s="28">
        <v>99</v>
      </c>
      <c r="E41" s="28">
        <v>2283</v>
      </c>
      <c r="F41" s="62"/>
      <c r="G41" s="62"/>
    </row>
    <row r="42" spans="1:7" x14ac:dyDescent="0.25">
      <c r="A42" s="9">
        <v>37</v>
      </c>
      <c r="B42" s="28">
        <v>20250217</v>
      </c>
      <c r="C42" s="28">
        <v>23.51</v>
      </c>
      <c r="D42" s="28">
        <v>97</v>
      </c>
      <c r="E42" s="28">
        <v>2281</v>
      </c>
      <c r="F42" s="62"/>
      <c r="G42" s="62"/>
    </row>
    <row r="43" spans="1:7" x14ac:dyDescent="0.25">
      <c r="A43" s="9">
        <v>38</v>
      </c>
      <c r="B43" s="28">
        <v>20250225</v>
      </c>
      <c r="C43" s="28"/>
      <c r="D43" s="28"/>
      <c r="E43" s="28">
        <v>2254</v>
      </c>
      <c r="F43" s="62"/>
      <c r="G43" s="62"/>
    </row>
    <row r="44" spans="1:7" x14ac:dyDescent="0.25">
      <c r="A44" s="9">
        <v>39</v>
      </c>
      <c r="B44" s="28">
        <v>20250305</v>
      </c>
      <c r="C44" s="28">
        <v>24.05</v>
      </c>
      <c r="D44" s="28">
        <v>94</v>
      </c>
      <c r="E44" s="28">
        <v>2262</v>
      </c>
      <c r="F44" s="62"/>
      <c r="G44" s="62"/>
    </row>
    <row r="45" spans="1:7" x14ac:dyDescent="0.25">
      <c r="A45" s="9">
        <v>40</v>
      </c>
      <c r="B45" s="28">
        <v>20250317</v>
      </c>
      <c r="C45" s="28">
        <v>23.76</v>
      </c>
      <c r="D45" s="28">
        <v>96</v>
      </c>
      <c r="E45" s="28">
        <v>2282</v>
      </c>
      <c r="F45" s="62"/>
      <c r="G45" s="62"/>
    </row>
    <row r="46" spans="1:7" x14ac:dyDescent="0.25">
      <c r="A46" s="9">
        <v>41</v>
      </c>
      <c r="B46" s="28">
        <v>20250325</v>
      </c>
      <c r="C46" s="28">
        <v>23.23</v>
      </c>
      <c r="D46" s="28">
        <v>98</v>
      </c>
      <c r="E46" s="28">
        <v>2278</v>
      </c>
      <c r="F46" s="62"/>
      <c r="G46" s="62"/>
    </row>
    <row r="47" spans="1:7" x14ac:dyDescent="0.25">
      <c r="A47" s="9">
        <v>42</v>
      </c>
      <c r="B47" s="28">
        <v>20250407</v>
      </c>
      <c r="C47" s="28">
        <v>20.34</v>
      </c>
      <c r="D47" s="28">
        <v>100</v>
      </c>
      <c r="E47" s="28">
        <v>2035</v>
      </c>
      <c r="F47" s="62"/>
      <c r="G47" s="62"/>
    </row>
    <row r="48" spans="1:7" x14ac:dyDescent="0.25">
      <c r="A48" s="9">
        <v>43</v>
      </c>
      <c r="B48" s="28">
        <v>20250415</v>
      </c>
      <c r="C48" s="28">
        <v>21.18</v>
      </c>
      <c r="D48" s="28">
        <v>107</v>
      </c>
      <c r="E48" s="28">
        <v>2267</v>
      </c>
      <c r="F48" s="62"/>
      <c r="G48" s="62"/>
    </row>
    <row r="49" spans="1:7" x14ac:dyDescent="0.25">
      <c r="A49" s="9">
        <v>44</v>
      </c>
      <c r="B49" s="28">
        <v>20250415</v>
      </c>
      <c r="C49" s="28"/>
      <c r="D49" s="28"/>
      <c r="E49" s="28"/>
      <c r="F49" s="62">
        <v>22964</v>
      </c>
      <c r="G49" s="62"/>
    </row>
    <row r="50" spans="1:7" x14ac:dyDescent="0.25">
      <c r="A50" s="9">
        <v>45</v>
      </c>
      <c r="B50" s="28">
        <v>20250425</v>
      </c>
      <c r="C50" s="28">
        <v>21</v>
      </c>
      <c r="D50" s="28">
        <v>109</v>
      </c>
      <c r="E50" s="28">
        <v>2290</v>
      </c>
      <c r="F50" s="62"/>
      <c r="G50" s="62"/>
    </row>
    <row r="51" spans="1:7" x14ac:dyDescent="0.25">
      <c r="A51" s="9">
        <v>46</v>
      </c>
      <c r="B51" s="28">
        <v>20250505</v>
      </c>
      <c r="C51" s="28">
        <v>21.41</v>
      </c>
      <c r="D51" s="28">
        <v>106</v>
      </c>
      <c r="E51" s="28">
        <v>2270</v>
      </c>
      <c r="F51" s="62"/>
      <c r="G51" s="62"/>
    </row>
    <row r="52" spans="1:7" x14ac:dyDescent="0.25">
      <c r="A52" s="9">
        <v>47</v>
      </c>
      <c r="B52" s="28">
        <v>20250515</v>
      </c>
      <c r="C52" s="28">
        <v>22.4</v>
      </c>
      <c r="D52" s="28">
        <v>101</v>
      </c>
      <c r="E52" s="28">
        <v>2263</v>
      </c>
      <c r="F52" s="62"/>
      <c r="G52" s="62"/>
    </row>
    <row r="53" spans="1:7" x14ac:dyDescent="0.25">
      <c r="A53" s="9">
        <v>48</v>
      </c>
      <c r="B53" s="28">
        <v>20250526</v>
      </c>
      <c r="C53" s="28">
        <v>22.63</v>
      </c>
      <c r="D53" s="28">
        <v>100</v>
      </c>
      <c r="E53" s="28">
        <v>2264</v>
      </c>
      <c r="F53" s="62"/>
      <c r="G53" s="62"/>
    </row>
    <row r="54" spans="1:7" x14ac:dyDescent="0.25">
      <c r="A54" s="9">
        <v>49</v>
      </c>
      <c r="B54" s="28">
        <v>20250605</v>
      </c>
      <c r="C54" s="28">
        <v>22.12</v>
      </c>
      <c r="D54" s="28">
        <v>102</v>
      </c>
      <c r="E54" s="28">
        <v>2257</v>
      </c>
      <c r="F54" s="62"/>
      <c r="G54" s="62"/>
    </row>
    <row r="55" spans="1:7" x14ac:dyDescent="0.25">
      <c r="A55" s="9">
        <v>50</v>
      </c>
      <c r="B55" s="28">
        <v>20250616</v>
      </c>
      <c r="C55" s="28">
        <v>22.47</v>
      </c>
      <c r="D55" s="28">
        <v>101</v>
      </c>
      <c r="E55" s="28">
        <v>2270</v>
      </c>
      <c r="F55" s="62"/>
      <c r="G55" s="62"/>
    </row>
    <row r="56" spans="1:7" x14ac:dyDescent="0.25">
      <c r="A56" s="9">
        <v>51</v>
      </c>
      <c r="B56" s="28">
        <v>20250625</v>
      </c>
      <c r="C56" s="28">
        <v>21.6</v>
      </c>
      <c r="D56" s="28">
        <v>105</v>
      </c>
      <c r="E56" s="28">
        <v>2269</v>
      </c>
      <c r="F56" s="62"/>
      <c r="G56" s="62"/>
    </row>
    <row r="57" spans="1:7" x14ac:dyDescent="0.25">
      <c r="A57" s="9">
        <v>52</v>
      </c>
      <c r="B57" s="28">
        <v>20250707</v>
      </c>
      <c r="C57" s="28">
        <v>21.43</v>
      </c>
      <c r="D57" s="28">
        <v>105</v>
      </c>
      <c r="E57" s="28">
        <v>2251</v>
      </c>
      <c r="F57" s="62"/>
      <c r="G57" s="62"/>
    </row>
    <row r="58" spans="1:7" x14ac:dyDescent="0.25">
      <c r="A58" s="9">
        <v>53</v>
      </c>
      <c r="B58" s="28">
        <v>20250711</v>
      </c>
      <c r="C58" s="28"/>
      <c r="D58" s="28"/>
      <c r="E58" s="28"/>
      <c r="F58" s="62">
        <v>23630</v>
      </c>
      <c r="G58" s="62"/>
    </row>
    <row r="59" spans="1:7" x14ac:dyDescent="0.25">
      <c r="A59" s="9">
        <v>54</v>
      </c>
      <c r="B59" s="28">
        <v>20250715</v>
      </c>
      <c r="C59" s="28">
        <v>21.5</v>
      </c>
      <c r="D59" s="28">
        <v>105</v>
      </c>
      <c r="E59" s="28">
        <v>2259</v>
      </c>
      <c r="F59" s="62"/>
      <c r="G59" s="62"/>
    </row>
    <row r="60" spans="1:7" x14ac:dyDescent="0.25">
      <c r="A60" s="9">
        <v>55</v>
      </c>
      <c r="B60" s="28">
        <v>20250725</v>
      </c>
      <c r="C60" s="28">
        <v>21.72</v>
      </c>
      <c r="D60" s="28">
        <v>104</v>
      </c>
      <c r="E60" s="28">
        <v>2259</v>
      </c>
      <c r="F60" s="62"/>
      <c r="G60" s="62"/>
    </row>
    <row r="61" spans="1:7" x14ac:dyDescent="0.25">
      <c r="A61" s="9">
        <v>56</v>
      </c>
      <c r="B61" s="28">
        <v>20250805</v>
      </c>
      <c r="C61" s="28">
        <v>21.57</v>
      </c>
      <c r="D61" s="28">
        <v>105</v>
      </c>
      <c r="E61" s="28">
        <v>2266</v>
      </c>
      <c r="F61" s="62"/>
      <c r="G61" s="62"/>
    </row>
    <row r="62" spans="1:7" x14ac:dyDescent="0.25">
      <c r="A62" s="9">
        <v>57</v>
      </c>
      <c r="B62" s="28">
        <v>20250815</v>
      </c>
      <c r="C62" s="28">
        <v>21.7</v>
      </c>
      <c r="D62" s="28">
        <v>104</v>
      </c>
      <c r="E62" s="28">
        <v>2258</v>
      </c>
      <c r="F62" s="62"/>
      <c r="G62" s="62"/>
    </row>
    <row r="63" spans="1:7" x14ac:dyDescent="0.25">
      <c r="A63" s="9">
        <v>58</v>
      </c>
      <c r="B63" s="28">
        <v>20250825</v>
      </c>
      <c r="C63" s="28">
        <v>21.63</v>
      </c>
      <c r="D63" s="28">
        <v>105</v>
      </c>
      <c r="E63" s="28">
        <v>2272</v>
      </c>
      <c r="F63" s="62"/>
      <c r="G63" s="62"/>
    </row>
    <row r="64" spans="1:7" x14ac:dyDescent="0.25">
      <c r="A64" s="9">
        <v>59</v>
      </c>
      <c r="B64" s="28">
        <v>20250905</v>
      </c>
      <c r="C64" s="28">
        <v>21.51</v>
      </c>
      <c r="D64" s="28">
        <v>105</v>
      </c>
      <c r="E64" s="28">
        <v>2260</v>
      </c>
      <c r="F64" s="62"/>
      <c r="G64" s="62"/>
    </row>
    <row r="65" spans="1:7" x14ac:dyDescent="0.25">
      <c r="A65" s="9">
        <v>60</v>
      </c>
      <c r="B65" s="28">
        <v>20250915</v>
      </c>
      <c r="C65" s="28">
        <v>21.76</v>
      </c>
      <c r="D65" s="28">
        <v>104</v>
      </c>
      <c r="E65" s="28">
        <v>2264</v>
      </c>
      <c r="F65" s="62"/>
      <c r="G65" s="62"/>
    </row>
    <row r="66" spans="1:7" x14ac:dyDescent="0.25">
      <c r="A66" s="9">
        <v>61</v>
      </c>
      <c r="B66" s="28">
        <v>20250925</v>
      </c>
      <c r="C66" s="28">
        <v>21.44</v>
      </c>
      <c r="D66" s="28">
        <v>106</v>
      </c>
      <c r="E66" s="28">
        <v>2274</v>
      </c>
      <c r="F66" s="62"/>
      <c r="G66" s="62"/>
    </row>
    <row r="67" spans="1:7" x14ac:dyDescent="0.25">
      <c r="A67" s="9">
        <v>62</v>
      </c>
      <c r="B67" s="28">
        <v>20251007</v>
      </c>
      <c r="C67" s="28">
        <v>21.21</v>
      </c>
      <c r="D67" s="28">
        <v>117</v>
      </c>
      <c r="E67" s="28">
        <v>2482</v>
      </c>
      <c r="F67" s="62"/>
      <c r="G67" s="62"/>
    </row>
    <row r="68" spans="1:7" x14ac:dyDescent="0.25">
      <c r="A68" s="9">
        <v>63</v>
      </c>
      <c r="B68" s="28">
        <v>20251015</v>
      </c>
      <c r="C68" s="28">
        <v>21.22</v>
      </c>
      <c r="D68" s="28">
        <v>117</v>
      </c>
      <c r="E68" s="28">
        <v>2484</v>
      </c>
      <c r="F68" s="62"/>
      <c r="G68" s="62"/>
    </row>
    <row r="69" spans="1:7" x14ac:dyDescent="0.25">
      <c r="A69" s="9">
        <v>64</v>
      </c>
      <c r="B69" s="28">
        <v>20251027</v>
      </c>
      <c r="C69" s="28">
        <v>21.6</v>
      </c>
      <c r="D69" s="28">
        <v>115</v>
      </c>
      <c r="E69" s="28">
        <v>2486</v>
      </c>
      <c r="F69" s="62"/>
      <c r="G69" s="62"/>
    </row>
    <row r="70" spans="1:7" x14ac:dyDescent="0.25">
      <c r="A70" s="9">
        <v>65</v>
      </c>
      <c r="B70" s="28">
        <v>20251015</v>
      </c>
      <c r="C70" s="28"/>
      <c r="D70" s="28"/>
      <c r="E70" s="28"/>
      <c r="F70" s="62">
        <v>18229</v>
      </c>
      <c r="G70" s="62"/>
    </row>
    <row r="71" spans="1:7" x14ac:dyDescent="0.25">
      <c r="A71" s="9">
        <v>66</v>
      </c>
      <c r="B71" s="28">
        <v>20251105</v>
      </c>
      <c r="C71" s="28">
        <v>21.28</v>
      </c>
      <c r="D71" s="28">
        <v>117</v>
      </c>
      <c r="E71" s="28">
        <v>2491</v>
      </c>
      <c r="F71" s="62"/>
      <c r="G71" s="62"/>
    </row>
    <row r="72" spans="1:7" x14ac:dyDescent="0.25">
      <c r="A72" s="9">
        <v>67</v>
      </c>
      <c r="B72" s="28">
        <v>20251117</v>
      </c>
      <c r="C72" s="28">
        <v>21.53</v>
      </c>
      <c r="D72" s="28">
        <v>116</v>
      </c>
      <c r="E72" s="28">
        <v>2498</v>
      </c>
      <c r="F72" s="62"/>
      <c r="G72" s="62"/>
    </row>
    <row r="73" spans="1:7" x14ac:dyDescent="0.25">
      <c r="A73" s="9">
        <v>68</v>
      </c>
      <c r="B73" s="28">
        <v>20251125</v>
      </c>
      <c r="C73" s="28">
        <v>21.44</v>
      </c>
      <c r="D73" s="28">
        <v>116</v>
      </c>
      <c r="E73" s="28">
        <v>2489</v>
      </c>
      <c r="F73" s="62"/>
      <c r="G73" s="62"/>
    </row>
    <row r="74" spans="1:7" x14ac:dyDescent="0.25">
      <c r="A74" s="9">
        <v>69</v>
      </c>
      <c r="B74" s="28">
        <v>20251205</v>
      </c>
      <c r="C74" s="28">
        <v>21.83</v>
      </c>
      <c r="D74" s="28">
        <v>114</v>
      </c>
      <c r="E74" s="28">
        <v>2490</v>
      </c>
      <c r="F74" s="62"/>
      <c r="G74" s="62"/>
    </row>
    <row r="75" spans="1:7" x14ac:dyDescent="0.25">
      <c r="A75" s="9">
        <v>70</v>
      </c>
      <c r="B75" s="28">
        <v>20251215</v>
      </c>
      <c r="C75" s="28">
        <v>22.08</v>
      </c>
      <c r="D75" s="28">
        <v>113</v>
      </c>
      <c r="E75" s="28">
        <v>2495</v>
      </c>
      <c r="F75" s="62"/>
      <c r="G75" s="62"/>
    </row>
    <row r="76" spans="1:7" x14ac:dyDescent="0.25">
      <c r="A76" s="9">
        <v>71</v>
      </c>
      <c r="B76" s="28">
        <v>20251226</v>
      </c>
      <c r="C76" s="28">
        <v>22.49</v>
      </c>
      <c r="D76" s="28">
        <v>111</v>
      </c>
      <c r="E76" s="28">
        <v>2497</v>
      </c>
      <c r="F76" s="62"/>
      <c r="G76" s="62"/>
    </row>
    <row r="77" spans="1:7" x14ac:dyDescent="0.25">
      <c r="A77" s="9">
        <v>72</v>
      </c>
      <c r="B77" s="39"/>
      <c r="C77" s="39"/>
      <c r="D77" s="39"/>
      <c r="E77" s="39"/>
      <c r="F77" s="46"/>
      <c r="G77" s="46"/>
    </row>
    <row r="78" spans="1:7" x14ac:dyDescent="0.25">
      <c r="A78" s="9">
        <v>73</v>
      </c>
      <c r="B78" s="39"/>
      <c r="C78" s="39"/>
      <c r="D78" s="39"/>
      <c r="E78" s="39"/>
      <c r="F78" s="46"/>
      <c r="G78" s="46"/>
    </row>
    <row r="79" spans="1:7" x14ac:dyDescent="0.25">
      <c r="A79" s="9">
        <v>74</v>
      </c>
      <c r="B79" s="39"/>
      <c r="C79" s="39"/>
      <c r="D79" s="39"/>
      <c r="E79" s="39"/>
      <c r="F79" s="46"/>
      <c r="G79" s="46"/>
    </row>
    <row r="80" spans="1:7" x14ac:dyDescent="0.25">
      <c r="A80" s="9">
        <v>75</v>
      </c>
      <c r="B80" s="39"/>
      <c r="C80" s="39"/>
      <c r="D80" s="39"/>
      <c r="E80" s="39"/>
      <c r="F80" s="46"/>
      <c r="G80" s="46"/>
    </row>
    <row r="81" spans="1:7" x14ac:dyDescent="0.25">
      <c r="A81" s="9">
        <v>76</v>
      </c>
      <c r="B81" s="39"/>
      <c r="C81" s="39"/>
      <c r="D81" s="39"/>
      <c r="E81" s="39"/>
      <c r="F81" s="46"/>
      <c r="G81" s="46"/>
    </row>
    <row r="82" spans="1:7" x14ac:dyDescent="0.25">
      <c r="A82" s="9">
        <v>77</v>
      </c>
      <c r="B82" s="39"/>
      <c r="C82" s="39"/>
      <c r="D82" s="39"/>
      <c r="E82" s="39"/>
      <c r="F82" s="46"/>
      <c r="G82" s="46"/>
    </row>
    <row r="83" spans="1:7" x14ac:dyDescent="0.25">
      <c r="A83" s="9">
        <v>78</v>
      </c>
      <c r="B83" s="39"/>
      <c r="C83" s="39"/>
      <c r="D83" s="39"/>
      <c r="E83" s="39"/>
      <c r="F83" s="46"/>
      <c r="G83" s="46"/>
    </row>
    <row r="84" spans="1:7" x14ac:dyDescent="0.25">
      <c r="A84" s="9">
        <v>79</v>
      </c>
      <c r="B84" s="39"/>
      <c r="C84" s="39"/>
      <c r="D84" s="39"/>
      <c r="E84" s="39"/>
      <c r="F84" s="46"/>
      <c r="G84" s="46"/>
    </row>
    <row r="85" spans="1:7" x14ac:dyDescent="0.25">
      <c r="A85" s="9">
        <v>80</v>
      </c>
      <c r="B85" s="39"/>
      <c r="C85" s="39"/>
      <c r="D85" s="39"/>
      <c r="E85" s="39"/>
      <c r="F85" s="46"/>
      <c r="G85" s="46"/>
    </row>
    <row r="86" spans="1:7" x14ac:dyDescent="0.25">
      <c r="A86" s="9">
        <v>81</v>
      </c>
      <c r="B86" s="39"/>
      <c r="C86" s="39"/>
      <c r="D86" s="39"/>
      <c r="E86" s="39"/>
      <c r="F86" s="46"/>
      <c r="G86" s="46"/>
    </row>
    <row r="87" spans="1:7" x14ac:dyDescent="0.25">
      <c r="A87" s="9">
        <v>82</v>
      </c>
      <c r="B87" s="39"/>
      <c r="C87" s="39"/>
      <c r="D87" s="39"/>
      <c r="E87" s="39"/>
      <c r="F87" s="46"/>
      <c r="G87" s="46"/>
    </row>
    <row r="88" spans="1:7" x14ac:dyDescent="0.25">
      <c r="A88" s="9">
        <v>83</v>
      </c>
      <c r="B88" s="39"/>
      <c r="C88" s="39"/>
      <c r="D88" s="39"/>
      <c r="E88" s="39"/>
      <c r="F88" s="46"/>
      <c r="G88" s="46"/>
    </row>
    <row r="89" spans="1:7" x14ac:dyDescent="0.25">
      <c r="A89" s="9">
        <v>84</v>
      </c>
      <c r="B89" s="39"/>
      <c r="C89" s="39"/>
      <c r="D89" s="39"/>
      <c r="E89" s="39"/>
      <c r="F89" s="46"/>
      <c r="G89" s="46"/>
    </row>
    <row r="90" spans="1:7" x14ac:dyDescent="0.25">
      <c r="A90" s="9">
        <v>85</v>
      </c>
      <c r="B90" s="39"/>
      <c r="C90" s="39"/>
      <c r="D90" s="39"/>
      <c r="E90" s="39"/>
      <c r="F90" s="46"/>
      <c r="G90" s="46"/>
    </row>
    <row r="91" spans="1:7" x14ac:dyDescent="0.25">
      <c r="A91" s="9">
        <v>86</v>
      </c>
      <c r="B91" s="39"/>
      <c r="C91" s="39"/>
      <c r="D91" s="39"/>
      <c r="E91" s="39"/>
      <c r="F91" s="46"/>
      <c r="G91" s="46"/>
    </row>
    <row r="92" spans="1:7" x14ac:dyDescent="0.25">
      <c r="A92" s="9">
        <v>87</v>
      </c>
      <c r="B92" s="39"/>
      <c r="C92" s="39"/>
      <c r="D92" s="39"/>
      <c r="E92" s="39"/>
      <c r="F92" s="46"/>
      <c r="G92" s="46"/>
    </row>
    <row r="93" spans="1:7" x14ac:dyDescent="0.25">
      <c r="A93" s="9">
        <v>88</v>
      </c>
      <c r="B93" s="39"/>
      <c r="C93" s="39"/>
      <c r="D93" s="39"/>
      <c r="E93" s="39"/>
      <c r="F93" s="46"/>
      <c r="G93" s="46"/>
    </row>
    <row r="94" spans="1:7" x14ac:dyDescent="0.25">
      <c r="A94" s="9">
        <v>89</v>
      </c>
      <c r="B94" s="39"/>
      <c r="C94" s="39"/>
      <c r="D94" s="39"/>
      <c r="E94" s="39"/>
      <c r="F94" s="46"/>
      <c r="G94" s="46"/>
    </row>
    <row r="95" spans="1:7" x14ac:dyDescent="0.25">
      <c r="A95" s="9">
        <v>90</v>
      </c>
      <c r="B95" s="39"/>
      <c r="C95" s="39"/>
      <c r="D95" s="39"/>
      <c r="E95" s="39"/>
      <c r="F95" s="46"/>
      <c r="G95" s="46"/>
    </row>
    <row r="96" spans="1:7" x14ac:dyDescent="0.25">
      <c r="A96" s="9">
        <v>91</v>
      </c>
      <c r="B96" s="39"/>
      <c r="C96" s="39"/>
      <c r="D96" s="39"/>
      <c r="E96" s="39"/>
      <c r="F96" s="46"/>
      <c r="G96" s="46"/>
    </row>
    <row r="97" spans="1:7" x14ac:dyDescent="0.25">
      <c r="A97" s="9">
        <v>92</v>
      </c>
      <c r="B97" s="39"/>
      <c r="C97" s="39"/>
      <c r="D97" s="39"/>
      <c r="E97" s="39"/>
      <c r="F97" s="46"/>
      <c r="G97" s="46"/>
    </row>
    <row r="98" spans="1:7" x14ac:dyDescent="0.25">
      <c r="A98" s="9">
        <v>93</v>
      </c>
      <c r="B98" s="39"/>
      <c r="C98" s="39"/>
      <c r="D98" s="39"/>
      <c r="E98" s="39"/>
      <c r="F98" s="46"/>
      <c r="G98" s="46"/>
    </row>
    <row r="99" spans="1:7" x14ac:dyDescent="0.25">
      <c r="A99" s="9">
        <v>94</v>
      </c>
      <c r="B99" s="39"/>
      <c r="C99" s="39"/>
      <c r="D99" s="39"/>
      <c r="E99" s="39"/>
      <c r="F99" s="46"/>
      <c r="G99" s="46"/>
    </row>
    <row r="100" spans="1:7" x14ac:dyDescent="0.25">
      <c r="A100" s="9">
        <v>95</v>
      </c>
      <c r="B100" s="39"/>
      <c r="C100" s="39"/>
      <c r="D100" s="39"/>
      <c r="E100" s="39"/>
      <c r="F100" s="46"/>
      <c r="G100" s="46"/>
    </row>
    <row r="101" spans="1:7" x14ac:dyDescent="0.25">
      <c r="A101" s="9">
        <v>96</v>
      </c>
      <c r="B101" s="39"/>
      <c r="C101" s="39"/>
      <c r="D101" s="39"/>
      <c r="E101" s="39"/>
      <c r="F101" s="46"/>
      <c r="G101" s="46"/>
    </row>
    <row r="102" spans="1:7" x14ac:dyDescent="0.25">
      <c r="A102" s="9">
        <v>97</v>
      </c>
      <c r="B102" s="39"/>
      <c r="C102" s="39"/>
      <c r="D102" s="39"/>
      <c r="E102" s="39"/>
      <c r="F102" s="46"/>
      <c r="G102" s="46"/>
    </row>
    <row r="103" spans="1:7" x14ac:dyDescent="0.25">
      <c r="A103" s="9">
        <v>98</v>
      </c>
      <c r="B103" s="39"/>
      <c r="C103" s="39"/>
      <c r="D103" s="39"/>
      <c r="E103" s="39"/>
      <c r="F103" s="46"/>
      <c r="G103" s="46"/>
    </row>
    <row r="104" spans="1:7" x14ac:dyDescent="0.25">
      <c r="A104" s="9">
        <v>99</v>
      </c>
      <c r="B104" s="39"/>
      <c r="C104" s="39"/>
      <c r="D104" s="39"/>
      <c r="E104" s="39"/>
      <c r="F104" s="46"/>
      <c r="G104" s="46"/>
    </row>
    <row r="105" spans="1:7" x14ac:dyDescent="0.25">
      <c r="A105" s="9">
        <v>100</v>
      </c>
      <c r="B105" s="39"/>
      <c r="C105" s="39"/>
      <c r="D105" s="39"/>
      <c r="E105" s="39"/>
      <c r="F105" s="46"/>
      <c r="G105" s="46"/>
    </row>
    <row r="106" spans="1:7" x14ac:dyDescent="0.25">
      <c r="A106" s="9">
        <v>101</v>
      </c>
      <c r="B106" s="39"/>
      <c r="C106" s="39"/>
      <c r="D106" s="39"/>
      <c r="E106" s="39"/>
      <c r="F106" s="46"/>
      <c r="G106" s="46"/>
    </row>
    <row r="107" spans="1:7" x14ac:dyDescent="0.25">
      <c r="A107" s="9">
        <v>102</v>
      </c>
      <c r="B107" s="39"/>
      <c r="C107" s="39"/>
      <c r="D107" s="39"/>
      <c r="E107" s="39"/>
      <c r="F107" s="46"/>
      <c r="G107" s="46"/>
    </row>
    <row r="108" spans="1:7" x14ac:dyDescent="0.25">
      <c r="A108" s="9">
        <v>103</v>
      </c>
      <c r="B108" s="39"/>
      <c r="C108" s="39"/>
      <c r="D108" s="39"/>
      <c r="E108" s="39"/>
      <c r="F108" s="46"/>
      <c r="G108" s="46"/>
    </row>
    <row r="109" spans="1:7" x14ac:dyDescent="0.25">
      <c r="A109" s="9">
        <v>104</v>
      </c>
      <c r="B109" s="39"/>
      <c r="C109" s="39"/>
      <c r="D109" s="39"/>
      <c r="E109" s="39"/>
      <c r="F109" s="46"/>
      <c r="G109" s="46"/>
    </row>
    <row r="110" spans="1:7" x14ac:dyDescent="0.25">
      <c r="A110" s="9">
        <v>105</v>
      </c>
      <c r="B110" s="39"/>
      <c r="C110" s="39"/>
      <c r="D110" s="39"/>
      <c r="E110" s="39"/>
      <c r="F110" s="46"/>
      <c r="G110" s="46"/>
    </row>
    <row r="111" spans="1:7" x14ac:dyDescent="0.25">
      <c r="A111" s="9">
        <v>106</v>
      </c>
      <c r="B111" s="39"/>
      <c r="C111" s="39"/>
      <c r="D111" s="39"/>
      <c r="E111" s="39"/>
      <c r="F111" s="46"/>
      <c r="G111" s="46"/>
    </row>
    <row r="112" spans="1:7" x14ac:dyDescent="0.25">
      <c r="A112" s="9">
        <v>107</v>
      </c>
      <c r="B112" s="39"/>
      <c r="C112" s="39"/>
      <c r="D112" s="39"/>
      <c r="E112" s="39"/>
      <c r="F112" s="46"/>
      <c r="G112" s="46"/>
    </row>
    <row r="113" spans="1:7" x14ac:dyDescent="0.25">
      <c r="A113" s="9">
        <v>108</v>
      </c>
      <c r="B113" s="6"/>
      <c r="C113" s="6"/>
      <c r="D113" s="6"/>
      <c r="E113" s="6"/>
      <c r="F113" s="68"/>
      <c r="G113" s="68"/>
    </row>
    <row r="114" spans="1:7" x14ac:dyDescent="0.25">
      <c r="A114" s="9">
        <v>109</v>
      </c>
      <c r="B114" s="6"/>
      <c r="C114" s="6"/>
      <c r="D114" s="6"/>
      <c r="E114" s="6"/>
      <c r="F114" s="68"/>
      <c r="G114" s="68"/>
    </row>
    <row r="115" spans="1:7" x14ac:dyDescent="0.25">
      <c r="A115" s="9">
        <v>110</v>
      </c>
      <c r="B115" s="6"/>
      <c r="C115" s="6"/>
      <c r="D115" s="6"/>
      <c r="E115" s="6"/>
      <c r="F115" s="68"/>
      <c r="G115" s="68"/>
    </row>
    <row r="116" spans="1:7" x14ac:dyDescent="0.25">
      <c r="A116" s="9">
        <v>111</v>
      </c>
      <c r="B116" s="6"/>
      <c r="C116" s="6"/>
      <c r="D116" s="6"/>
      <c r="E116" s="6"/>
      <c r="F116" s="68"/>
      <c r="G116" s="68"/>
    </row>
    <row r="117" spans="1:7" x14ac:dyDescent="0.25">
      <c r="A117" s="9">
        <v>112</v>
      </c>
      <c r="B117" s="6"/>
      <c r="C117" s="6"/>
      <c r="D117" s="6"/>
      <c r="E117" s="6"/>
      <c r="F117" s="68"/>
      <c r="G117" s="68"/>
    </row>
    <row r="118" spans="1:7" x14ac:dyDescent="0.25">
      <c r="A118" s="9">
        <v>113</v>
      </c>
      <c r="B118" s="6"/>
      <c r="C118" s="6"/>
      <c r="D118" s="6"/>
      <c r="E118" s="6"/>
      <c r="F118" s="68"/>
      <c r="G118" s="68"/>
    </row>
    <row r="119" spans="1:7" x14ac:dyDescent="0.25">
      <c r="A119" s="9">
        <v>114</v>
      </c>
      <c r="B119" s="6"/>
      <c r="C119" s="6"/>
      <c r="D119" s="6"/>
      <c r="E119" s="6"/>
      <c r="F119" s="68"/>
      <c r="G119" s="68"/>
    </row>
    <row r="120" spans="1:7" x14ac:dyDescent="0.25">
      <c r="A120" s="9">
        <v>115</v>
      </c>
      <c r="B120" s="6"/>
      <c r="C120" s="6"/>
      <c r="D120" s="6"/>
      <c r="E120" s="6"/>
      <c r="F120" s="68"/>
      <c r="G120" s="68"/>
    </row>
    <row r="121" spans="1:7" x14ac:dyDescent="0.25">
      <c r="A121" s="9">
        <v>116</v>
      </c>
      <c r="B121" s="6"/>
      <c r="C121" s="6"/>
      <c r="D121" s="6"/>
      <c r="E121" s="6"/>
      <c r="F121" s="68"/>
      <c r="G121" s="68"/>
    </row>
    <row r="122" spans="1:7" x14ac:dyDescent="0.25">
      <c r="A122" s="9">
        <v>117</v>
      </c>
      <c r="B122" s="6"/>
      <c r="C122" s="6"/>
      <c r="D122" s="6"/>
      <c r="E122" s="6"/>
      <c r="F122" s="68"/>
      <c r="G122" s="68"/>
    </row>
    <row r="123" spans="1:7" x14ac:dyDescent="0.25">
      <c r="A123" s="9">
        <v>118</v>
      </c>
      <c r="B123" s="6"/>
      <c r="C123" s="6"/>
      <c r="D123" s="6"/>
      <c r="E123" s="6"/>
      <c r="F123" s="68"/>
      <c r="G123" s="68"/>
    </row>
    <row r="124" spans="1:7" x14ac:dyDescent="0.25">
      <c r="A124" s="9">
        <v>119</v>
      </c>
      <c r="B124" s="6"/>
      <c r="C124" s="6"/>
      <c r="D124" s="6"/>
      <c r="E124" s="6"/>
      <c r="F124" s="68"/>
      <c r="G124" s="68"/>
    </row>
    <row r="125" spans="1:7" x14ac:dyDescent="0.25">
      <c r="A125" s="9">
        <v>120</v>
      </c>
      <c r="B125" s="6"/>
      <c r="C125" s="6"/>
      <c r="D125" s="6"/>
      <c r="E125" s="6"/>
      <c r="F125" s="68"/>
      <c r="G125" s="68"/>
    </row>
    <row r="126" spans="1:7" x14ac:dyDescent="0.25">
      <c r="A126" s="9">
        <v>121</v>
      </c>
      <c r="B126" s="6"/>
      <c r="C126" s="6"/>
      <c r="D126" s="6"/>
      <c r="E126" s="6"/>
      <c r="F126" s="68"/>
      <c r="G126" s="68"/>
    </row>
    <row r="127" spans="1:7" x14ac:dyDescent="0.25">
      <c r="A127" s="9">
        <v>122</v>
      </c>
      <c r="B127" s="6"/>
      <c r="C127" s="6"/>
      <c r="D127" s="6"/>
      <c r="E127" s="6"/>
      <c r="F127" s="68"/>
      <c r="G127" s="68"/>
    </row>
    <row r="128" spans="1:7" x14ac:dyDescent="0.25">
      <c r="A128" s="9">
        <v>123</v>
      </c>
      <c r="B128" s="6"/>
      <c r="C128" s="6"/>
      <c r="D128" s="6"/>
      <c r="E128" s="6"/>
      <c r="F128" s="68"/>
      <c r="G128" s="68"/>
    </row>
    <row r="129" spans="1:7" x14ac:dyDescent="0.25">
      <c r="A129" s="9">
        <v>124</v>
      </c>
      <c r="B129" s="6"/>
      <c r="C129" s="6"/>
      <c r="D129" s="6"/>
      <c r="E129" s="6"/>
      <c r="F129" s="68"/>
      <c r="G129" s="68"/>
    </row>
    <row r="130" spans="1:7" x14ac:dyDescent="0.25">
      <c r="A130" s="9">
        <v>125</v>
      </c>
      <c r="B130" s="6"/>
      <c r="C130" s="6"/>
      <c r="D130" s="6"/>
      <c r="E130" s="6"/>
      <c r="F130" s="68"/>
      <c r="G130" s="68"/>
    </row>
    <row r="131" spans="1:7" x14ac:dyDescent="0.25">
      <c r="A131" s="9">
        <v>126</v>
      </c>
      <c r="B131" s="6"/>
      <c r="C131" s="6"/>
      <c r="D131" s="6"/>
      <c r="E131" s="6"/>
      <c r="F131" s="68"/>
      <c r="G131" s="68"/>
    </row>
    <row r="132" spans="1:7" x14ac:dyDescent="0.25">
      <c r="A132" s="9">
        <v>127</v>
      </c>
      <c r="B132" s="6"/>
      <c r="C132" s="6"/>
      <c r="D132" s="6"/>
      <c r="E132" s="6"/>
      <c r="F132" s="68"/>
      <c r="G132" s="68"/>
    </row>
    <row r="133" spans="1:7" x14ac:dyDescent="0.25">
      <c r="A133" s="9">
        <v>128</v>
      </c>
      <c r="B133" s="6"/>
      <c r="C133" s="6"/>
      <c r="D133" s="6"/>
      <c r="E133" s="6"/>
      <c r="F133" s="68"/>
      <c r="G133" s="68"/>
    </row>
    <row r="134" spans="1:7" x14ac:dyDescent="0.25">
      <c r="A134" s="9">
        <v>129</v>
      </c>
      <c r="B134" s="6"/>
      <c r="C134" s="6"/>
      <c r="D134" s="6"/>
      <c r="E134" s="6"/>
      <c r="F134" s="68"/>
      <c r="G134" s="68"/>
    </row>
    <row r="135" spans="1:7" x14ac:dyDescent="0.25">
      <c r="A135" s="9">
        <v>130</v>
      </c>
      <c r="B135" s="6"/>
      <c r="C135" s="6"/>
      <c r="D135" s="6"/>
      <c r="E135" s="6"/>
      <c r="F135" s="68"/>
      <c r="G135" s="68"/>
    </row>
    <row r="136" spans="1:7" x14ac:dyDescent="0.25">
      <c r="A136" s="9">
        <v>131</v>
      </c>
      <c r="B136" s="6"/>
      <c r="C136" s="6"/>
      <c r="D136" s="6"/>
      <c r="E136" s="6"/>
      <c r="F136" s="68"/>
      <c r="G136" s="68"/>
    </row>
    <row r="137" spans="1:7" x14ac:dyDescent="0.25">
      <c r="A137" s="9">
        <v>132</v>
      </c>
      <c r="B137" s="6"/>
      <c r="C137" s="6"/>
      <c r="D137" s="6"/>
      <c r="E137" s="6"/>
      <c r="F137" s="68"/>
      <c r="G137" s="68"/>
    </row>
    <row r="138" spans="1:7" x14ac:dyDescent="0.25">
      <c r="A138" s="9">
        <v>133</v>
      </c>
      <c r="B138" s="6"/>
      <c r="C138" s="6"/>
      <c r="D138" s="6"/>
      <c r="E138" s="6"/>
      <c r="F138" s="68"/>
      <c r="G138" s="68"/>
    </row>
    <row r="139" spans="1:7" x14ac:dyDescent="0.25">
      <c r="A139" s="9">
        <v>134</v>
      </c>
      <c r="B139" s="6"/>
      <c r="C139" s="6"/>
      <c r="D139" s="6"/>
      <c r="E139" s="6"/>
      <c r="F139" s="68"/>
      <c r="G139" s="68"/>
    </row>
    <row r="140" spans="1:7" x14ac:dyDescent="0.25">
      <c r="A140" s="9">
        <v>135</v>
      </c>
      <c r="B140" s="6"/>
      <c r="C140" s="6"/>
      <c r="D140" s="6"/>
      <c r="E140" s="6"/>
      <c r="F140" s="68"/>
      <c r="G140" s="68"/>
    </row>
    <row r="141" spans="1:7" x14ac:dyDescent="0.25">
      <c r="A141" s="9">
        <v>136</v>
      </c>
      <c r="B141" s="6"/>
      <c r="C141" s="6"/>
      <c r="D141" s="6"/>
      <c r="E141" s="6"/>
      <c r="F141" s="68"/>
      <c r="G141" s="68"/>
    </row>
    <row r="142" spans="1:7" x14ac:dyDescent="0.25">
      <c r="A142" s="9">
        <v>137</v>
      </c>
      <c r="B142" s="6"/>
      <c r="C142" s="6"/>
      <c r="D142" s="6"/>
      <c r="E142" s="6"/>
      <c r="F142" s="68"/>
      <c r="G142" s="68"/>
    </row>
    <row r="143" spans="1:7" x14ac:dyDescent="0.25">
      <c r="A143" s="9">
        <v>138</v>
      </c>
      <c r="B143" s="6"/>
      <c r="C143" s="6"/>
      <c r="D143" s="6"/>
      <c r="E143" s="6"/>
      <c r="F143" s="68"/>
      <c r="G143" s="68"/>
    </row>
    <row r="144" spans="1:7" x14ac:dyDescent="0.25">
      <c r="A144" s="9">
        <v>139</v>
      </c>
      <c r="B144" s="6"/>
      <c r="C144" s="6"/>
      <c r="D144" s="6"/>
      <c r="E144" s="6"/>
      <c r="F144" s="68"/>
      <c r="G144" s="68"/>
    </row>
    <row r="145" spans="1:7" x14ac:dyDescent="0.25">
      <c r="A145" s="9">
        <v>140</v>
      </c>
      <c r="B145" s="6"/>
      <c r="C145" s="6"/>
      <c r="D145" s="6"/>
      <c r="E145" s="6"/>
      <c r="F145" s="68"/>
      <c r="G145" s="68"/>
    </row>
    <row r="146" spans="1:7" x14ac:dyDescent="0.25">
      <c r="A146" s="9">
        <v>141</v>
      </c>
      <c r="B146" s="6"/>
      <c r="C146" s="6"/>
      <c r="D146" s="6"/>
      <c r="E146" s="6"/>
      <c r="F146" s="68"/>
      <c r="G146" s="68"/>
    </row>
    <row r="147" spans="1:7" x14ac:dyDescent="0.25">
      <c r="A147" s="9">
        <v>142</v>
      </c>
      <c r="B147" s="6"/>
      <c r="C147" s="6"/>
      <c r="D147" s="6"/>
      <c r="E147" s="6"/>
      <c r="F147" s="68"/>
      <c r="G147" s="68"/>
    </row>
    <row r="148" spans="1:7" x14ac:dyDescent="0.25">
      <c r="A148" s="9">
        <v>143</v>
      </c>
      <c r="B148" s="6"/>
      <c r="C148" s="6"/>
      <c r="D148" s="6"/>
      <c r="E148" s="6"/>
      <c r="F148" s="68"/>
      <c r="G148" s="68"/>
    </row>
    <row r="149" spans="1:7" x14ac:dyDescent="0.25">
      <c r="A149" s="9">
        <v>144</v>
      </c>
      <c r="B149" s="6"/>
      <c r="C149" s="6"/>
      <c r="D149" s="6"/>
      <c r="E149" s="6"/>
      <c r="F149" s="68"/>
      <c r="G149" s="68"/>
    </row>
    <row r="150" spans="1:7" x14ac:dyDescent="0.25">
      <c r="A150" s="9">
        <v>145</v>
      </c>
      <c r="B150" s="6"/>
      <c r="C150" s="6"/>
      <c r="D150" s="6"/>
      <c r="E150" s="6"/>
      <c r="F150" s="68"/>
      <c r="G150" s="68"/>
    </row>
    <row r="151" spans="1:7" x14ac:dyDescent="0.25">
      <c r="A151" s="9">
        <v>146</v>
      </c>
      <c r="B151" s="6"/>
      <c r="C151" s="6"/>
      <c r="D151" s="6"/>
      <c r="E151" s="6"/>
      <c r="F151" s="68"/>
      <c r="G151" s="68"/>
    </row>
    <row r="152" spans="1:7" x14ac:dyDescent="0.25">
      <c r="A152" s="9">
        <v>147</v>
      </c>
      <c r="B152" s="6"/>
      <c r="C152" s="6"/>
      <c r="D152" s="6"/>
      <c r="E152" s="6"/>
      <c r="F152" s="68"/>
      <c r="G152" s="68"/>
    </row>
    <row r="153" spans="1:7" x14ac:dyDescent="0.25">
      <c r="A153" s="9">
        <v>148</v>
      </c>
      <c r="B153" s="6"/>
      <c r="C153" s="6"/>
      <c r="D153" s="6"/>
      <c r="E153" s="6"/>
      <c r="F153" s="68"/>
      <c r="G153" s="68"/>
    </row>
    <row r="154" spans="1:7" x14ac:dyDescent="0.25">
      <c r="A154" s="9">
        <v>149</v>
      </c>
      <c r="B154" s="6"/>
      <c r="C154" s="6"/>
      <c r="D154" s="6"/>
      <c r="E154" s="6"/>
      <c r="F154" s="68"/>
      <c r="G154" s="68"/>
    </row>
    <row r="155" spans="1:7" x14ac:dyDescent="0.25">
      <c r="A155" s="9">
        <v>150</v>
      </c>
      <c r="B155" s="6"/>
      <c r="C155" s="6"/>
      <c r="D155" s="6"/>
      <c r="E155" s="6"/>
      <c r="F155" s="68"/>
      <c r="G155" s="68"/>
    </row>
    <row r="156" spans="1:7" x14ac:dyDescent="0.25">
      <c r="A156" s="9">
        <v>151</v>
      </c>
      <c r="B156" s="6"/>
      <c r="C156" s="6"/>
      <c r="D156" s="6"/>
      <c r="E156" s="6"/>
      <c r="F156" s="68"/>
      <c r="G156" s="68"/>
    </row>
    <row r="157" spans="1:7" x14ac:dyDescent="0.25">
      <c r="A157" s="9">
        <v>152</v>
      </c>
      <c r="B157" s="6"/>
      <c r="C157" s="6"/>
      <c r="D157" s="6"/>
      <c r="E157" s="6"/>
      <c r="F157" s="68"/>
      <c r="G157" s="68"/>
    </row>
    <row r="158" spans="1:7" x14ac:dyDescent="0.25">
      <c r="A158" s="9">
        <v>153</v>
      </c>
      <c r="B158" s="6"/>
      <c r="C158" s="6"/>
      <c r="D158" s="6"/>
      <c r="E158" s="6"/>
      <c r="F158" s="68"/>
      <c r="G158" s="68"/>
    </row>
    <row r="159" spans="1:7" x14ac:dyDescent="0.25">
      <c r="A159" s="9">
        <v>154</v>
      </c>
      <c r="B159" s="6"/>
      <c r="C159" s="6"/>
      <c r="D159" s="6"/>
      <c r="E159" s="6"/>
      <c r="F159" s="68"/>
      <c r="G159" s="68"/>
    </row>
    <row r="160" spans="1:7" x14ac:dyDescent="0.25">
      <c r="A160" s="9">
        <v>155</v>
      </c>
      <c r="B160" s="6"/>
      <c r="C160" s="6"/>
      <c r="D160" s="6"/>
      <c r="E160" s="6"/>
      <c r="F160" s="68"/>
      <c r="G160" s="68"/>
    </row>
    <row r="161" spans="1:7" x14ac:dyDescent="0.25">
      <c r="A161" s="9">
        <v>156</v>
      </c>
      <c r="B161" s="6"/>
      <c r="C161" s="6"/>
      <c r="D161" s="6"/>
      <c r="E161" s="6"/>
      <c r="F161" s="68"/>
      <c r="G161" s="68"/>
    </row>
    <row r="162" spans="1:7" x14ac:dyDescent="0.25">
      <c r="A162" s="9">
        <v>157</v>
      </c>
      <c r="B162" s="6"/>
      <c r="C162" s="6"/>
      <c r="D162" s="6"/>
      <c r="E162" s="6"/>
      <c r="F162" s="68"/>
      <c r="G162" s="68"/>
    </row>
    <row r="163" spans="1:7" x14ac:dyDescent="0.25">
      <c r="A163" s="9">
        <v>158</v>
      </c>
      <c r="B163" s="6"/>
      <c r="C163" s="6"/>
      <c r="D163" s="6"/>
      <c r="E163" s="6"/>
      <c r="F163" s="68"/>
      <c r="G163" s="68"/>
    </row>
    <row r="164" spans="1:7" x14ac:dyDescent="0.25">
      <c r="A164" s="9">
        <v>159</v>
      </c>
      <c r="B164" s="6"/>
      <c r="C164" s="6"/>
      <c r="D164" s="6"/>
      <c r="E164" s="6"/>
      <c r="F164" s="68"/>
      <c r="G164" s="68"/>
    </row>
    <row r="165" spans="1:7" x14ac:dyDescent="0.25">
      <c r="A165" s="9">
        <v>160</v>
      </c>
      <c r="B165" s="6"/>
      <c r="C165" s="6"/>
      <c r="D165" s="6"/>
      <c r="E165" s="6"/>
      <c r="F165" s="68"/>
      <c r="G165" s="68"/>
    </row>
    <row r="166" spans="1:7" x14ac:dyDescent="0.25">
      <c r="A166" s="9">
        <v>161</v>
      </c>
      <c r="B166" s="6"/>
      <c r="C166" s="6"/>
      <c r="D166" s="6"/>
      <c r="E166" s="6"/>
      <c r="F166" s="68"/>
      <c r="G166" s="68"/>
    </row>
    <row r="167" spans="1:7" x14ac:dyDescent="0.25">
      <c r="A167" s="9">
        <v>162</v>
      </c>
      <c r="B167" s="6"/>
      <c r="C167" s="6"/>
      <c r="D167" s="6"/>
      <c r="E167" s="6"/>
      <c r="F167" s="68"/>
      <c r="G167" s="68"/>
    </row>
    <row r="168" spans="1:7" x14ac:dyDescent="0.25">
      <c r="A168" s="9">
        <v>163</v>
      </c>
      <c r="B168" s="6"/>
      <c r="C168" s="6"/>
      <c r="D168" s="6"/>
      <c r="E168" s="6"/>
      <c r="F168" s="68"/>
      <c r="G168" s="68"/>
    </row>
    <row r="169" spans="1:7" x14ac:dyDescent="0.25">
      <c r="A169" s="9">
        <v>164</v>
      </c>
      <c r="B169" s="6"/>
      <c r="C169" s="6"/>
      <c r="D169" s="6"/>
      <c r="E169" s="6"/>
      <c r="F169" s="68"/>
      <c r="G169" s="68"/>
    </row>
    <row r="170" spans="1:7" x14ac:dyDescent="0.25">
      <c r="A170" s="9">
        <v>165</v>
      </c>
      <c r="B170" s="6"/>
      <c r="C170" s="6"/>
      <c r="D170" s="6"/>
      <c r="E170" s="6"/>
      <c r="F170" s="68"/>
      <c r="G170" s="68"/>
    </row>
    <row r="171" spans="1:7" x14ac:dyDescent="0.25">
      <c r="A171" s="9">
        <v>166</v>
      </c>
      <c r="B171" s="6"/>
      <c r="C171" s="6"/>
      <c r="D171" s="6"/>
      <c r="E171" s="6"/>
      <c r="F171" s="68"/>
      <c r="G171" s="68"/>
    </row>
    <row r="172" spans="1:7" x14ac:dyDescent="0.25">
      <c r="A172" s="9">
        <v>167</v>
      </c>
      <c r="B172" s="6"/>
      <c r="C172" s="6"/>
      <c r="D172" s="6"/>
      <c r="E172" s="6"/>
      <c r="F172" s="68"/>
      <c r="G172" s="68"/>
    </row>
    <row r="173" spans="1:7" x14ac:dyDescent="0.25">
      <c r="A173" s="9">
        <v>168</v>
      </c>
      <c r="B173" s="6"/>
      <c r="C173" s="6"/>
      <c r="D173" s="6"/>
      <c r="E173" s="6"/>
      <c r="F173" s="68"/>
      <c r="G173" s="68"/>
    </row>
    <row r="174" spans="1:7" x14ac:dyDescent="0.25">
      <c r="A174" s="9">
        <v>169</v>
      </c>
      <c r="B174" s="6"/>
      <c r="C174" s="6"/>
      <c r="D174" s="6"/>
      <c r="E174" s="6"/>
      <c r="F174" s="68"/>
      <c r="G174" s="68"/>
    </row>
    <row r="175" spans="1:7" x14ac:dyDescent="0.25">
      <c r="A175" s="9">
        <v>170</v>
      </c>
      <c r="B175" s="6"/>
      <c r="C175" s="6"/>
      <c r="D175" s="6"/>
      <c r="E175" s="6"/>
      <c r="F175" s="68"/>
      <c r="G175" s="68"/>
    </row>
    <row r="176" spans="1:7" x14ac:dyDescent="0.25">
      <c r="A176" s="9">
        <v>171</v>
      </c>
      <c r="B176" s="6"/>
      <c r="C176" s="6"/>
      <c r="D176" s="6"/>
      <c r="E176" s="6"/>
      <c r="F176" s="68"/>
      <c r="G176" s="68"/>
    </row>
    <row r="177" spans="1:7" x14ac:dyDescent="0.25">
      <c r="A177" s="9">
        <v>172</v>
      </c>
      <c r="B177" s="6"/>
      <c r="C177" s="6"/>
      <c r="D177" s="6"/>
      <c r="E177" s="6"/>
      <c r="F177" s="68"/>
      <c r="G177" s="68"/>
    </row>
    <row r="178" spans="1:7" x14ac:dyDescent="0.25">
      <c r="A178" s="9">
        <v>173</v>
      </c>
      <c r="B178" s="6"/>
      <c r="C178" s="6"/>
      <c r="D178" s="6"/>
      <c r="E178" s="6"/>
      <c r="F178" s="68"/>
      <c r="G178" s="68"/>
    </row>
    <row r="179" spans="1:7" x14ac:dyDescent="0.25">
      <c r="A179" s="9">
        <v>174</v>
      </c>
      <c r="B179" s="6"/>
      <c r="C179" s="6"/>
      <c r="D179" s="6"/>
      <c r="E179" s="6"/>
      <c r="F179" s="68"/>
      <c r="G179" s="68"/>
    </row>
    <row r="180" spans="1:7" x14ac:dyDescent="0.25">
      <c r="A180" s="9">
        <v>175</v>
      </c>
      <c r="B180" s="6"/>
      <c r="C180" s="6"/>
      <c r="D180" s="6"/>
      <c r="E180" s="6"/>
      <c r="F180" s="68"/>
      <c r="G180" s="68"/>
    </row>
    <row r="181" spans="1:7" x14ac:dyDescent="0.25">
      <c r="A181" s="9">
        <v>176</v>
      </c>
      <c r="B181" s="6"/>
      <c r="C181" s="6"/>
      <c r="D181" s="6"/>
      <c r="E181" s="6"/>
      <c r="F181" s="68"/>
      <c r="G181" s="68"/>
    </row>
    <row r="182" spans="1:7" x14ac:dyDescent="0.25">
      <c r="A182" s="9">
        <v>177</v>
      </c>
      <c r="B182" s="6"/>
      <c r="C182" s="6"/>
      <c r="D182" s="6"/>
      <c r="E182" s="6"/>
      <c r="F182" s="68"/>
      <c r="G182" s="68"/>
    </row>
    <row r="183" spans="1:7" x14ac:dyDescent="0.25">
      <c r="A183" s="9">
        <v>178</v>
      </c>
      <c r="B183" s="6"/>
      <c r="C183" s="6"/>
      <c r="D183" s="6"/>
      <c r="E183" s="6"/>
      <c r="F183" s="68"/>
      <c r="G183" s="68"/>
    </row>
    <row r="184" spans="1:7" x14ac:dyDescent="0.25">
      <c r="A184" s="9">
        <v>179</v>
      </c>
      <c r="B184" s="6"/>
      <c r="C184" s="6"/>
      <c r="D184" s="6"/>
      <c r="E184" s="6"/>
      <c r="F184" s="68"/>
      <c r="G184" s="68"/>
    </row>
    <row r="185" spans="1:7" x14ac:dyDescent="0.25">
      <c r="A185" s="9">
        <v>180</v>
      </c>
      <c r="B185" s="6"/>
      <c r="C185" s="6"/>
      <c r="D185" s="6"/>
      <c r="E185" s="6"/>
      <c r="F185" s="68"/>
      <c r="G185" s="68"/>
    </row>
    <row r="186" spans="1:7" x14ac:dyDescent="0.25">
      <c r="A186" s="9">
        <v>181</v>
      </c>
      <c r="B186" s="6"/>
      <c r="C186" s="6"/>
      <c r="D186" s="6"/>
      <c r="E186" s="6"/>
      <c r="F186" s="68"/>
      <c r="G186" s="68"/>
    </row>
    <row r="187" spans="1:7" x14ac:dyDescent="0.25">
      <c r="A187" s="9">
        <v>182</v>
      </c>
      <c r="B187" s="6"/>
      <c r="C187" s="6"/>
      <c r="D187" s="6"/>
      <c r="E187" s="6"/>
      <c r="F187" s="68"/>
      <c r="G187" s="68"/>
    </row>
    <row r="188" spans="1:7" x14ac:dyDescent="0.25">
      <c r="A188" s="9">
        <v>183</v>
      </c>
      <c r="B188" s="6"/>
      <c r="C188" s="6"/>
      <c r="D188" s="6"/>
      <c r="E188" s="6"/>
      <c r="F188" s="68"/>
      <c r="G188" s="68"/>
    </row>
    <row r="189" spans="1:7" x14ac:dyDescent="0.25">
      <c r="A189" s="9">
        <v>184</v>
      </c>
      <c r="B189" s="6"/>
      <c r="C189" s="6"/>
      <c r="D189" s="6"/>
      <c r="E189" s="6"/>
      <c r="F189" s="68"/>
      <c r="G189" s="68"/>
    </row>
    <row r="190" spans="1:7" x14ac:dyDescent="0.25">
      <c r="A190" s="9">
        <v>185</v>
      </c>
      <c r="B190" s="6"/>
      <c r="C190" s="6"/>
      <c r="D190" s="6"/>
      <c r="E190" s="6"/>
      <c r="F190" s="68"/>
      <c r="G190" s="68"/>
    </row>
    <row r="191" spans="1:7" x14ac:dyDescent="0.25">
      <c r="A191" s="9">
        <v>186</v>
      </c>
      <c r="B191" s="6"/>
      <c r="C191" s="6"/>
      <c r="D191" s="6"/>
      <c r="E191" s="6"/>
      <c r="F191" s="68"/>
      <c r="G191" s="68"/>
    </row>
    <row r="192" spans="1:7" x14ac:dyDescent="0.25">
      <c r="A192" s="9">
        <v>187</v>
      </c>
      <c r="B192" s="6"/>
      <c r="C192" s="6"/>
      <c r="D192" s="6"/>
      <c r="E192" s="6"/>
      <c r="F192" s="68"/>
      <c r="G192" s="68"/>
    </row>
    <row r="193" spans="1:7" x14ac:dyDescent="0.25">
      <c r="A193" s="9">
        <v>188</v>
      </c>
      <c r="B193" s="6"/>
      <c r="C193" s="6"/>
      <c r="D193" s="6"/>
      <c r="E193" s="6"/>
      <c r="F193" s="68"/>
      <c r="G193" s="68"/>
    </row>
    <row r="194" spans="1:7" x14ac:dyDescent="0.25">
      <c r="A194" s="9">
        <v>189</v>
      </c>
      <c r="B194" s="6"/>
      <c r="C194" s="6"/>
      <c r="D194" s="6"/>
      <c r="E194" s="6"/>
      <c r="F194" s="68"/>
      <c r="G194" s="68"/>
    </row>
    <row r="195" spans="1:7" x14ac:dyDescent="0.25">
      <c r="A195" s="9">
        <v>190</v>
      </c>
      <c r="B195" s="6"/>
      <c r="C195" s="6"/>
      <c r="D195" s="6"/>
      <c r="E195" s="6"/>
      <c r="F195" s="68"/>
      <c r="G195" s="68"/>
    </row>
    <row r="196" spans="1:7" x14ac:dyDescent="0.25">
      <c r="A196" s="9">
        <v>191</v>
      </c>
      <c r="B196" s="6"/>
      <c r="C196" s="6"/>
      <c r="D196" s="6"/>
      <c r="E196" s="6"/>
      <c r="F196" s="68"/>
      <c r="G196" s="68"/>
    </row>
    <row r="197" spans="1:7" x14ac:dyDescent="0.25">
      <c r="A197" s="9">
        <v>192</v>
      </c>
      <c r="B197" s="6"/>
      <c r="C197" s="6"/>
      <c r="D197" s="6"/>
      <c r="E197" s="6"/>
      <c r="F197" s="68"/>
      <c r="G197" s="68"/>
    </row>
    <row r="198" spans="1:7" x14ac:dyDescent="0.25">
      <c r="A198" s="9">
        <v>193</v>
      </c>
      <c r="B198" s="6"/>
      <c r="C198" s="6"/>
      <c r="D198" s="6"/>
      <c r="E198" s="6"/>
      <c r="F198" s="68"/>
      <c r="G198" s="68"/>
    </row>
    <row r="199" spans="1:7" x14ac:dyDescent="0.25">
      <c r="A199" s="9">
        <v>194</v>
      </c>
      <c r="B199" s="6"/>
      <c r="C199" s="6"/>
      <c r="D199" s="6"/>
      <c r="E199" s="6"/>
      <c r="F199" s="68"/>
      <c r="G199" s="68"/>
    </row>
    <row r="200" spans="1:7" x14ac:dyDescent="0.25">
      <c r="A200" s="9">
        <v>195</v>
      </c>
      <c r="B200" s="6"/>
      <c r="C200" s="6"/>
      <c r="D200" s="6"/>
      <c r="E200" s="6"/>
      <c r="F200" s="68"/>
      <c r="G200" s="68"/>
    </row>
    <row r="201" spans="1:7" x14ac:dyDescent="0.25">
      <c r="A201" s="9">
        <v>196</v>
      </c>
      <c r="B201" s="6"/>
      <c r="C201" s="6"/>
      <c r="D201" s="6"/>
      <c r="E201" s="6"/>
      <c r="F201" s="68"/>
      <c r="G201" s="68"/>
    </row>
    <row r="202" spans="1:7" x14ac:dyDescent="0.25">
      <c r="A202" s="9">
        <v>197</v>
      </c>
      <c r="B202" s="6"/>
      <c r="C202" s="6"/>
      <c r="D202" s="6"/>
      <c r="E202" s="6"/>
      <c r="F202" s="68"/>
      <c r="G202" s="68"/>
    </row>
    <row r="203" spans="1:7" x14ac:dyDescent="0.25">
      <c r="A203" s="9">
        <v>198</v>
      </c>
      <c r="B203" s="6"/>
      <c r="C203" s="6"/>
      <c r="D203" s="6"/>
      <c r="E203" s="6"/>
      <c r="F203" s="68"/>
      <c r="G203" s="68"/>
    </row>
    <row r="204" spans="1:7" x14ac:dyDescent="0.25">
      <c r="A204" s="9">
        <v>199</v>
      </c>
      <c r="B204" s="6"/>
      <c r="C204" s="6"/>
      <c r="D204" s="6"/>
      <c r="E204" s="6"/>
      <c r="F204" s="68"/>
      <c r="G204" s="68"/>
    </row>
    <row r="205" spans="1:7" x14ac:dyDescent="0.25">
      <c r="A205" s="9">
        <v>200</v>
      </c>
      <c r="B205" s="6"/>
      <c r="C205" s="6"/>
      <c r="D205" s="6"/>
      <c r="E205" s="6"/>
      <c r="F205" s="68"/>
      <c r="G205" s="68"/>
    </row>
    <row r="206" spans="1:7" x14ac:dyDescent="0.25">
      <c r="A206" s="9">
        <v>201</v>
      </c>
      <c r="B206" s="6"/>
      <c r="C206" s="6"/>
      <c r="D206" s="6"/>
      <c r="E206" s="6"/>
      <c r="F206" s="68"/>
      <c r="G206" s="68"/>
    </row>
    <row r="207" spans="1:7" x14ac:dyDescent="0.25">
      <c r="A207" s="9">
        <v>202</v>
      </c>
      <c r="B207" s="6"/>
      <c r="C207" s="6"/>
      <c r="D207" s="6"/>
      <c r="E207" s="6"/>
      <c r="F207" s="68"/>
      <c r="G207" s="68"/>
    </row>
    <row r="208" spans="1:7" x14ac:dyDescent="0.25">
      <c r="A208" s="9">
        <v>203</v>
      </c>
      <c r="B208" s="6"/>
      <c r="C208" s="6"/>
      <c r="D208" s="6"/>
      <c r="E208" s="6"/>
      <c r="F208" s="68"/>
      <c r="G208" s="68"/>
    </row>
    <row r="209" spans="1:7" x14ac:dyDescent="0.25">
      <c r="A209" s="9">
        <v>204</v>
      </c>
      <c r="B209" s="6"/>
      <c r="C209" s="6"/>
      <c r="D209" s="6"/>
      <c r="E209" s="6"/>
      <c r="F209" s="68"/>
      <c r="G209" s="68"/>
    </row>
    <row r="210" spans="1:7" x14ac:dyDescent="0.25">
      <c r="A210" s="9">
        <v>205</v>
      </c>
      <c r="B210" s="6"/>
      <c r="C210" s="6"/>
      <c r="D210" s="6"/>
      <c r="E210" s="6"/>
      <c r="F210" s="68"/>
      <c r="G210" s="68"/>
    </row>
    <row r="211" spans="1:7" x14ac:dyDescent="0.25">
      <c r="A211" s="9">
        <v>206</v>
      </c>
      <c r="B211" s="6"/>
      <c r="C211" s="6"/>
      <c r="D211" s="6"/>
      <c r="E211" s="6"/>
      <c r="F211" s="68"/>
      <c r="G211" s="68"/>
    </row>
    <row r="212" spans="1:7" x14ac:dyDescent="0.25">
      <c r="A212" s="9">
        <v>207</v>
      </c>
      <c r="B212" s="6"/>
      <c r="C212" s="6"/>
      <c r="D212" s="6"/>
      <c r="E212" s="6"/>
      <c r="F212" s="68"/>
      <c r="G212" s="68"/>
    </row>
    <row r="213" spans="1:7" x14ac:dyDescent="0.25">
      <c r="A213" s="9">
        <v>208</v>
      </c>
      <c r="B213" s="6"/>
      <c r="C213" s="6"/>
      <c r="D213" s="6"/>
      <c r="E213" s="6"/>
      <c r="F213" s="68"/>
      <c r="G213" s="68"/>
    </row>
    <row r="214" spans="1:7" x14ac:dyDescent="0.25">
      <c r="A214" s="9">
        <v>209</v>
      </c>
      <c r="B214" s="6"/>
      <c r="C214" s="6"/>
      <c r="D214" s="6"/>
      <c r="E214" s="6"/>
      <c r="F214" s="68"/>
      <c r="G214" s="68"/>
    </row>
    <row r="215" spans="1:7" x14ac:dyDescent="0.25">
      <c r="A215" s="9">
        <v>210</v>
      </c>
      <c r="B215" s="6"/>
      <c r="C215" s="6"/>
      <c r="D215" s="6"/>
      <c r="E215" s="6"/>
      <c r="F215" s="68"/>
      <c r="G215" s="68"/>
    </row>
    <row r="216" spans="1:7" x14ac:dyDescent="0.25">
      <c r="A216" s="9">
        <v>211</v>
      </c>
      <c r="B216" s="6"/>
      <c r="C216" s="6"/>
      <c r="D216" s="6"/>
      <c r="E216" s="6"/>
      <c r="F216" s="68"/>
      <c r="G216" s="68"/>
    </row>
    <row r="217" spans="1:7" x14ac:dyDescent="0.25">
      <c r="A217" s="9">
        <v>212</v>
      </c>
      <c r="B217" s="6"/>
      <c r="C217" s="6"/>
      <c r="D217" s="6"/>
      <c r="E217" s="6"/>
      <c r="F217" s="68"/>
      <c r="G217" s="68"/>
    </row>
    <row r="218" spans="1:7" x14ac:dyDescent="0.25">
      <c r="A218" s="9">
        <v>213</v>
      </c>
      <c r="B218" s="6"/>
      <c r="C218" s="6"/>
      <c r="D218" s="6"/>
      <c r="E218" s="6"/>
      <c r="F218" s="68"/>
      <c r="G218" s="68"/>
    </row>
    <row r="219" spans="1:7" x14ac:dyDescent="0.25">
      <c r="A219" s="9">
        <v>214</v>
      </c>
      <c r="B219" s="6"/>
      <c r="C219" s="6"/>
      <c r="D219" s="6"/>
      <c r="E219" s="6"/>
      <c r="F219" s="68"/>
      <c r="G219" s="68"/>
    </row>
    <row r="220" spans="1:7" x14ac:dyDescent="0.25">
      <c r="A220" s="9">
        <v>215</v>
      </c>
      <c r="B220" s="6"/>
      <c r="C220" s="6"/>
      <c r="D220" s="6"/>
      <c r="E220" s="6"/>
      <c r="F220" s="68"/>
      <c r="G220" s="68"/>
    </row>
    <row r="221" spans="1:7" x14ac:dyDescent="0.25">
      <c r="A221" s="9">
        <v>216</v>
      </c>
      <c r="B221" s="6"/>
      <c r="C221" s="6"/>
      <c r="D221" s="6"/>
      <c r="E221" s="6"/>
      <c r="F221" s="68"/>
      <c r="G221" s="68"/>
    </row>
    <row r="222" spans="1:7" x14ac:dyDescent="0.25">
      <c r="A222" s="9">
        <v>217</v>
      </c>
      <c r="B222" s="6"/>
      <c r="C222" s="6"/>
      <c r="D222" s="6"/>
      <c r="E222" s="6"/>
      <c r="F222" s="68"/>
      <c r="G222" s="68"/>
    </row>
    <row r="223" spans="1:7" x14ac:dyDescent="0.25">
      <c r="A223" s="9">
        <v>218</v>
      </c>
      <c r="B223" s="6"/>
      <c r="C223" s="6"/>
      <c r="D223" s="6"/>
      <c r="E223" s="6"/>
      <c r="F223" s="68"/>
      <c r="G223" s="68"/>
    </row>
    <row r="224" spans="1:7" x14ac:dyDescent="0.25">
      <c r="A224" s="9">
        <v>219</v>
      </c>
      <c r="B224" s="6"/>
      <c r="C224" s="6"/>
      <c r="D224" s="6"/>
      <c r="E224" s="6"/>
      <c r="F224" s="68"/>
      <c r="G224" s="68"/>
    </row>
    <row r="225" spans="1:7" x14ac:dyDescent="0.25">
      <c r="A225" s="9">
        <v>220</v>
      </c>
      <c r="B225" s="6"/>
      <c r="C225" s="6"/>
      <c r="D225" s="6"/>
      <c r="E225" s="6"/>
      <c r="F225" s="68"/>
      <c r="G225" s="68"/>
    </row>
    <row r="226" spans="1:7" x14ac:dyDescent="0.25">
      <c r="A226" s="9">
        <v>221</v>
      </c>
      <c r="B226" s="6"/>
      <c r="C226" s="6"/>
      <c r="D226" s="6"/>
      <c r="E226" s="6"/>
      <c r="F226" s="68"/>
      <c r="G226" s="68"/>
    </row>
    <row r="227" spans="1:7" x14ac:dyDescent="0.25">
      <c r="A227" s="9">
        <v>222</v>
      </c>
      <c r="B227" s="6"/>
      <c r="C227" s="6"/>
      <c r="D227" s="6"/>
      <c r="E227" s="6"/>
      <c r="F227" s="68"/>
      <c r="G227" s="68"/>
    </row>
    <row r="228" spans="1:7" x14ac:dyDescent="0.25">
      <c r="A228" s="9">
        <v>223</v>
      </c>
      <c r="B228" s="6"/>
      <c r="C228" s="6"/>
      <c r="D228" s="6"/>
      <c r="E228" s="6"/>
      <c r="F228" s="68"/>
      <c r="G228" s="68"/>
    </row>
    <row r="229" spans="1:7" x14ac:dyDescent="0.25">
      <c r="A229" s="9">
        <v>224</v>
      </c>
      <c r="B229" s="6"/>
      <c r="C229" s="6"/>
      <c r="D229" s="6"/>
      <c r="E229" s="6"/>
      <c r="F229" s="68"/>
      <c r="G229" s="68"/>
    </row>
    <row r="230" spans="1:7" x14ac:dyDescent="0.25">
      <c r="A230" s="9">
        <v>225</v>
      </c>
      <c r="B230" s="6"/>
      <c r="C230" s="6"/>
      <c r="D230" s="6"/>
      <c r="E230" s="6"/>
      <c r="F230" s="68"/>
      <c r="G230" s="68"/>
    </row>
    <row r="231" spans="1:7" x14ac:dyDescent="0.25">
      <c r="A231" s="9">
        <v>226</v>
      </c>
      <c r="B231" s="6"/>
      <c r="C231" s="6"/>
      <c r="D231" s="6"/>
      <c r="E231" s="6"/>
      <c r="F231" s="68"/>
      <c r="G231" s="68"/>
    </row>
    <row r="232" spans="1:7" x14ac:dyDescent="0.25">
      <c r="A232" s="9">
        <v>227</v>
      </c>
      <c r="B232" s="6"/>
      <c r="C232" s="6"/>
      <c r="D232" s="6"/>
      <c r="E232" s="6"/>
      <c r="F232" s="68"/>
      <c r="G232" s="68"/>
    </row>
    <row r="233" spans="1:7" x14ac:dyDescent="0.25">
      <c r="A233" s="9">
        <v>228</v>
      </c>
      <c r="B233" s="6"/>
      <c r="C233" s="6"/>
      <c r="D233" s="6"/>
      <c r="E233" s="6"/>
      <c r="F233" s="68"/>
      <c r="G233" s="68"/>
    </row>
    <row r="234" spans="1:7" x14ac:dyDescent="0.25">
      <c r="A234" s="9">
        <v>229</v>
      </c>
      <c r="B234" s="6"/>
      <c r="C234" s="6"/>
      <c r="D234" s="6"/>
      <c r="E234" s="6"/>
      <c r="F234" s="68"/>
      <c r="G234" s="68"/>
    </row>
    <row r="235" spans="1:7" x14ac:dyDescent="0.25">
      <c r="A235" s="9">
        <v>230</v>
      </c>
      <c r="B235" s="6"/>
      <c r="C235" s="6"/>
      <c r="D235" s="6"/>
      <c r="E235" s="6"/>
      <c r="F235" s="68"/>
      <c r="G235" s="68"/>
    </row>
    <row r="236" spans="1:7" x14ac:dyDescent="0.25">
      <c r="A236" s="9">
        <v>231</v>
      </c>
      <c r="B236" s="6"/>
      <c r="C236" s="6"/>
      <c r="D236" s="6"/>
      <c r="E236" s="6"/>
      <c r="F236" s="68"/>
      <c r="G236" s="68"/>
    </row>
    <row r="237" spans="1:7" x14ac:dyDescent="0.25">
      <c r="A237" s="9">
        <v>232</v>
      </c>
      <c r="B237" s="6"/>
      <c r="C237" s="6"/>
      <c r="D237" s="6"/>
      <c r="E237" s="6"/>
      <c r="F237" s="68"/>
      <c r="G237" s="68"/>
    </row>
    <row r="238" spans="1:7" x14ac:dyDescent="0.25">
      <c r="A238" s="9">
        <v>233</v>
      </c>
      <c r="B238" s="6"/>
      <c r="C238" s="6"/>
      <c r="D238" s="6"/>
      <c r="E238" s="6"/>
      <c r="F238" s="68"/>
      <c r="G238" s="68"/>
    </row>
    <row r="239" spans="1:7" x14ac:dyDescent="0.25">
      <c r="A239" s="9">
        <v>234</v>
      </c>
      <c r="B239" s="6"/>
      <c r="C239" s="6"/>
      <c r="D239" s="6"/>
      <c r="E239" s="6"/>
      <c r="F239" s="68"/>
      <c r="G239" s="68"/>
    </row>
    <row r="240" spans="1:7" x14ac:dyDescent="0.25">
      <c r="A240" s="9">
        <v>235</v>
      </c>
      <c r="B240" s="6"/>
      <c r="C240" s="6"/>
      <c r="D240" s="6"/>
      <c r="E240" s="6"/>
      <c r="F240" s="68"/>
      <c r="G240" s="68"/>
    </row>
    <row r="241" spans="1:7" x14ac:dyDescent="0.25">
      <c r="A241" s="9">
        <v>236</v>
      </c>
      <c r="B241" s="6"/>
      <c r="C241" s="6"/>
      <c r="D241" s="6"/>
      <c r="E241" s="6"/>
      <c r="F241" s="68"/>
      <c r="G241" s="68"/>
    </row>
    <row r="242" spans="1:7" x14ac:dyDescent="0.25">
      <c r="A242" s="9">
        <v>237</v>
      </c>
      <c r="B242" s="6"/>
      <c r="C242" s="6"/>
      <c r="D242" s="6"/>
      <c r="E242" s="6"/>
      <c r="F242" s="68"/>
      <c r="G242" s="68"/>
    </row>
    <row r="243" spans="1:7" x14ac:dyDescent="0.25">
      <c r="A243" s="9">
        <v>238</v>
      </c>
      <c r="B243" s="6"/>
      <c r="C243" s="6"/>
      <c r="D243" s="6"/>
      <c r="E243" s="6"/>
      <c r="F243" s="68"/>
      <c r="G243" s="68"/>
    </row>
    <row r="244" spans="1:7" x14ac:dyDescent="0.25">
      <c r="A244" s="9">
        <v>239</v>
      </c>
      <c r="B244" s="6"/>
      <c r="C244" s="6"/>
      <c r="D244" s="6"/>
      <c r="E244" s="6"/>
      <c r="F244" s="68"/>
      <c r="G244" s="68"/>
    </row>
    <row r="245" spans="1:7" x14ac:dyDescent="0.25">
      <c r="A245" s="9">
        <v>240</v>
      </c>
      <c r="B245" s="6"/>
      <c r="C245" s="6"/>
      <c r="D245" s="6"/>
      <c r="E245" s="6"/>
      <c r="F245" s="68"/>
      <c r="G245" s="68"/>
    </row>
    <row r="246" spans="1:7" x14ac:dyDescent="0.25">
      <c r="A246" s="9">
        <v>241</v>
      </c>
      <c r="B246" s="6"/>
      <c r="C246" s="6"/>
      <c r="D246" s="6"/>
      <c r="E246" s="6"/>
      <c r="F246" s="68"/>
      <c r="G246" s="68"/>
    </row>
    <row r="247" spans="1:7" x14ac:dyDescent="0.25">
      <c r="A247" s="9">
        <v>242</v>
      </c>
      <c r="B247" s="6"/>
      <c r="C247" s="6"/>
      <c r="D247" s="6"/>
      <c r="E247" s="6"/>
      <c r="F247" s="68"/>
      <c r="G247" s="68"/>
    </row>
    <row r="248" spans="1:7" x14ac:dyDescent="0.25">
      <c r="A248" s="9">
        <v>243</v>
      </c>
      <c r="B248" s="6"/>
      <c r="C248" s="6"/>
      <c r="D248" s="6"/>
      <c r="E248" s="6"/>
      <c r="F248" s="68"/>
      <c r="G248" s="68"/>
    </row>
    <row r="249" spans="1:7" x14ac:dyDescent="0.25">
      <c r="A249" s="9">
        <v>244</v>
      </c>
      <c r="B249" s="6"/>
      <c r="C249" s="6"/>
      <c r="D249" s="6"/>
      <c r="E249" s="6"/>
      <c r="F249" s="68"/>
      <c r="G249" s="68"/>
    </row>
    <row r="250" spans="1:7" x14ac:dyDescent="0.25">
      <c r="A250" s="9">
        <v>245</v>
      </c>
      <c r="B250" s="6"/>
      <c r="C250" s="6"/>
      <c r="D250" s="6"/>
      <c r="E250" s="6"/>
      <c r="F250" s="68"/>
      <c r="G250" s="68"/>
    </row>
    <row r="251" spans="1:7" x14ac:dyDescent="0.25">
      <c r="A251" s="9">
        <v>246</v>
      </c>
      <c r="B251" s="6"/>
      <c r="C251" s="6"/>
      <c r="D251" s="6"/>
      <c r="E251" s="6"/>
      <c r="F251" s="68"/>
      <c r="G251" s="68"/>
    </row>
    <row r="252" spans="1:7" x14ac:dyDescent="0.25">
      <c r="A252" s="9">
        <v>247</v>
      </c>
      <c r="B252" s="6"/>
      <c r="C252" s="6"/>
      <c r="D252" s="6"/>
      <c r="E252" s="6"/>
      <c r="F252" s="68"/>
      <c r="G252" s="68"/>
    </row>
    <row r="253" spans="1:7" x14ac:dyDescent="0.25">
      <c r="A253" s="9">
        <v>248</v>
      </c>
      <c r="B253" s="6"/>
      <c r="C253" s="6"/>
      <c r="D253" s="6"/>
      <c r="E253" s="6"/>
      <c r="F253" s="68"/>
      <c r="G253" s="68"/>
    </row>
    <row r="254" spans="1:7" x14ac:dyDescent="0.25">
      <c r="A254" s="9">
        <v>249</v>
      </c>
      <c r="B254" s="6"/>
      <c r="C254" s="6"/>
      <c r="D254" s="6"/>
      <c r="E254" s="6"/>
      <c r="F254" s="68"/>
      <c r="G254" s="68"/>
    </row>
    <row r="255" spans="1:7" x14ac:dyDescent="0.25">
      <c r="A255" s="9">
        <v>250</v>
      </c>
      <c r="B255" s="6"/>
      <c r="C255" s="6"/>
      <c r="D255" s="6"/>
      <c r="E255" s="6"/>
      <c r="F255" s="68"/>
      <c r="G255" s="68"/>
    </row>
    <row r="256" spans="1:7" x14ac:dyDescent="0.25">
      <c r="A256" s="9">
        <v>251</v>
      </c>
      <c r="B256" s="6"/>
      <c r="C256" s="6"/>
      <c r="D256" s="6"/>
      <c r="E256" s="6"/>
      <c r="F256" s="68"/>
      <c r="G256" s="68"/>
    </row>
    <row r="257" spans="1:7" x14ac:dyDescent="0.25">
      <c r="A257" s="9">
        <v>252</v>
      </c>
      <c r="B257" s="6"/>
      <c r="C257" s="6"/>
      <c r="D257" s="6"/>
      <c r="E257" s="6"/>
      <c r="F257" s="68"/>
      <c r="G257" s="68"/>
    </row>
    <row r="258" spans="1:7" x14ac:dyDescent="0.25">
      <c r="A258" s="9">
        <v>253</v>
      </c>
      <c r="B258" s="6"/>
      <c r="C258" s="6"/>
      <c r="D258" s="6"/>
      <c r="E258" s="6"/>
      <c r="F258" s="68"/>
      <c r="G258" s="68"/>
    </row>
    <row r="259" spans="1:7" x14ac:dyDescent="0.25">
      <c r="A259" s="9">
        <v>254</v>
      </c>
      <c r="B259" s="6"/>
      <c r="C259" s="6"/>
      <c r="D259" s="6"/>
      <c r="E259" s="6"/>
      <c r="F259" s="68"/>
      <c r="G259" s="68"/>
    </row>
  </sheetData>
  <mergeCells count="263">
    <mergeCell ref="F257:G257"/>
    <mergeCell ref="F258:G258"/>
    <mergeCell ref="F259:G259"/>
    <mergeCell ref="F252:G252"/>
    <mergeCell ref="F253:G253"/>
    <mergeCell ref="F254:G254"/>
    <mergeCell ref="F255:G255"/>
    <mergeCell ref="F256:G256"/>
    <mergeCell ref="F247:G247"/>
    <mergeCell ref="F248:G248"/>
    <mergeCell ref="F249:G249"/>
    <mergeCell ref="F250:G250"/>
    <mergeCell ref="F251:G251"/>
    <mergeCell ref="F242:G242"/>
    <mergeCell ref="F243:G243"/>
    <mergeCell ref="F244:G244"/>
    <mergeCell ref="F245:G245"/>
    <mergeCell ref="F246:G246"/>
    <mergeCell ref="F237:G237"/>
    <mergeCell ref="F238:G238"/>
    <mergeCell ref="F239:G239"/>
    <mergeCell ref="F240:G240"/>
    <mergeCell ref="F241:G241"/>
    <mergeCell ref="F232:G232"/>
    <mergeCell ref="F233:G233"/>
    <mergeCell ref="F234:G234"/>
    <mergeCell ref="F235:G235"/>
    <mergeCell ref="F236:G236"/>
    <mergeCell ref="F227:G227"/>
    <mergeCell ref="F228:G228"/>
    <mergeCell ref="F229:G229"/>
    <mergeCell ref="F230:G230"/>
    <mergeCell ref="F231:G231"/>
    <mergeCell ref="F222:G222"/>
    <mergeCell ref="F223:G223"/>
    <mergeCell ref="F224:G224"/>
    <mergeCell ref="F225:G225"/>
    <mergeCell ref="F226:G226"/>
    <mergeCell ref="F217:G217"/>
    <mergeCell ref="F218:G218"/>
    <mergeCell ref="F219:G219"/>
    <mergeCell ref="F220:G220"/>
    <mergeCell ref="F221:G221"/>
    <mergeCell ref="F212:G212"/>
    <mergeCell ref="F213:G213"/>
    <mergeCell ref="F214:G214"/>
    <mergeCell ref="F215:G215"/>
    <mergeCell ref="F216:G216"/>
    <mergeCell ref="F207:G207"/>
    <mergeCell ref="F208:G208"/>
    <mergeCell ref="F209:G209"/>
    <mergeCell ref="F210:G210"/>
    <mergeCell ref="F211:G211"/>
    <mergeCell ref="F202:G202"/>
    <mergeCell ref="F203:G203"/>
    <mergeCell ref="F204:G204"/>
    <mergeCell ref="F205:G205"/>
    <mergeCell ref="F206:G206"/>
    <mergeCell ref="F197:G197"/>
    <mergeCell ref="F198:G198"/>
    <mergeCell ref="F199:G199"/>
    <mergeCell ref="F200:G200"/>
    <mergeCell ref="F201:G201"/>
    <mergeCell ref="F192:G192"/>
    <mergeCell ref="F193:G193"/>
    <mergeCell ref="F194:G194"/>
    <mergeCell ref="F195:G195"/>
    <mergeCell ref="F196:G196"/>
    <mergeCell ref="F187:G187"/>
    <mergeCell ref="F188:G188"/>
    <mergeCell ref="F189:G189"/>
    <mergeCell ref="F190:G190"/>
    <mergeCell ref="F191:G191"/>
    <mergeCell ref="F182:G182"/>
    <mergeCell ref="F183:G183"/>
    <mergeCell ref="F184:G184"/>
    <mergeCell ref="F185:G185"/>
    <mergeCell ref="F186:G186"/>
    <mergeCell ref="F177:G177"/>
    <mergeCell ref="F178:G178"/>
    <mergeCell ref="F179:G179"/>
    <mergeCell ref="F180:G180"/>
    <mergeCell ref="F181:G181"/>
    <mergeCell ref="F172:G172"/>
    <mergeCell ref="F173:G173"/>
    <mergeCell ref="F174:G174"/>
    <mergeCell ref="F175:G175"/>
    <mergeCell ref="F176:G176"/>
    <mergeCell ref="F167:G167"/>
    <mergeCell ref="F168:G168"/>
    <mergeCell ref="F169:G169"/>
    <mergeCell ref="F170:G170"/>
    <mergeCell ref="F171:G171"/>
    <mergeCell ref="F162:G162"/>
    <mergeCell ref="F163:G163"/>
    <mergeCell ref="F164:G164"/>
    <mergeCell ref="F165:G165"/>
    <mergeCell ref="F166:G166"/>
    <mergeCell ref="F157:G157"/>
    <mergeCell ref="F158:G158"/>
    <mergeCell ref="F159:G159"/>
    <mergeCell ref="F160:G160"/>
    <mergeCell ref="F161:G161"/>
    <mergeCell ref="F152:G152"/>
    <mergeCell ref="F153:G153"/>
    <mergeCell ref="F154:G154"/>
    <mergeCell ref="F155:G155"/>
    <mergeCell ref="F156:G156"/>
    <mergeCell ref="F147:G147"/>
    <mergeCell ref="F148:G148"/>
    <mergeCell ref="F149:G149"/>
    <mergeCell ref="F150:G150"/>
    <mergeCell ref="F151:G151"/>
    <mergeCell ref="F142:G142"/>
    <mergeCell ref="F143:G143"/>
    <mergeCell ref="F144:G144"/>
    <mergeCell ref="F145:G145"/>
    <mergeCell ref="F146:G146"/>
    <mergeCell ref="F137:G137"/>
    <mergeCell ref="F138:G138"/>
    <mergeCell ref="F139:G139"/>
    <mergeCell ref="F140:G140"/>
    <mergeCell ref="F141:G141"/>
    <mergeCell ref="F132:G132"/>
    <mergeCell ref="F133:G133"/>
    <mergeCell ref="F134:G134"/>
    <mergeCell ref="F135:G135"/>
    <mergeCell ref="F136:G136"/>
    <mergeCell ref="F127:G127"/>
    <mergeCell ref="F128:G128"/>
    <mergeCell ref="F129:G129"/>
    <mergeCell ref="F130:G130"/>
    <mergeCell ref="F131:G131"/>
    <mergeCell ref="F122:G122"/>
    <mergeCell ref="F123:G123"/>
    <mergeCell ref="F124:G124"/>
    <mergeCell ref="F125:G125"/>
    <mergeCell ref="F126:G126"/>
    <mergeCell ref="F117:G117"/>
    <mergeCell ref="F118:G118"/>
    <mergeCell ref="F119:G119"/>
    <mergeCell ref="F120:G120"/>
    <mergeCell ref="F121:G121"/>
    <mergeCell ref="F112:G112"/>
    <mergeCell ref="F113:G113"/>
    <mergeCell ref="F114:G114"/>
    <mergeCell ref="F115:G115"/>
    <mergeCell ref="F116:G116"/>
    <mergeCell ref="F107:G107"/>
    <mergeCell ref="F108:G108"/>
    <mergeCell ref="F109:G109"/>
    <mergeCell ref="F110:G110"/>
    <mergeCell ref="F111:G111"/>
    <mergeCell ref="F102:G102"/>
    <mergeCell ref="F103:G103"/>
    <mergeCell ref="F104:G104"/>
    <mergeCell ref="F105:G105"/>
    <mergeCell ref="F106:G106"/>
    <mergeCell ref="F97:G97"/>
    <mergeCell ref="F98:G98"/>
    <mergeCell ref="F99:G99"/>
    <mergeCell ref="F100:G100"/>
    <mergeCell ref="F101:G101"/>
    <mergeCell ref="F92:G92"/>
    <mergeCell ref="F93:G93"/>
    <mergeCell ref="F94:G94"/>
    <mergeCell ref="F95:G95"/>
    <mergeCell ref="F96:G96"/>
    <mergeCell ref="F87:G87"/>
    <mergeCell ref="F88:G88"/>
    <mergeCell ref="F89:G89"/>
    <mergeCell ref="F90:G90"/>
    <mergeCell ref="F91:G91"/>
    <mergeCell ref="F82:G82"/>
    <mergeCell ref="F83:G83"/>
    <mergeCell ref="F84:G84"/>
    <mergeCell ref="F85:G85"/>
    <mergeCell ref="F86:G86"/>
    <mergeCell ref="F77:G77"/>
    <mergeCell ref="F78:G78"/>
    <mergeCell ref="F79:G79"/>
    <mergeCell ref="F80:G80"/>
    <mergeCell ref="F81:G81"/>
    <mergeCell ref="F72:G72"/>
    <mergeCell ref="F73:G73"/>
    <mergeCell ref="F74:G74"/>
    <mergeCell ref="F75:G75"/>
    <mergeCell ref="F76:G76"/>
    <mergeCell ref="F67:G67"/>
    <mergeCell ref="F68:G68"/>
    <mergeCell ref="F69:G69"/>
    <mergeCell ref="F70:G70"/>
    <mergeCell ref="F71:G71"/>
    <mergeCell ref="F62:G62"/>
    <mergeCell ref="F63:G63"/>
    <mergeCell ref="F64:G64"/>
    <mergeCell ref="F65:G65"/>
    <mergeCell ref="F66:G66"/>
    <mergeCell ref="F57:G57"/>
    <mergeCell ref="F58:G58"/>
    <mergeCell ref="F59:G59"/>
    <mergeCell ref="F60:G60"/>
    <mergeCell ref="F61:G61"/>
    <mergeCell ref="F52:G52"/>
    <mergeCell ref="F53:G53"/>
    <mergeCell ref="F54:G54"/>
    <mergeCell ref="F55:G55"/>
    <mergeCell ref="F56:G56"/>
    <mergeCell ref="F47:G47"/>
    <mergeCell ref="F48:G48"/>
    <mergeCell ref="F49:G49"/>
    <mergeCell ref="F50:G50"/>
    <mergeCell ref="F51:G51"/>
    <mergeCell ref="F42:G42"/>
    <mergeCell ref="F43:G43"/>
    <mergeCell ref="F44:G44"/>
    <mergeCell ref="F45:G45"/>
    <mergeCell ref="F46:G46"/>
    <mergeCell ref="F30:G30"/>
    <mergeCell ref="F31:G31"/>
    <mergeCell ref="D3:D4"/>
    <mergeCell ref="E3:E4"/>
    <mergeCell ref="F27:G27"/>
    <mergeCell ref="F28:G28"/>
    <mergeCell ref="F29:G29"/>
    <mergeCell ref="F26:G26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8:G8"/>
    <mergeCell ref="F9:G9"/>
    <mergeCell ref="F10:G10"/>
    <mergeCell ref="F11:G11"/>
    <mergeCell ref="F12:G12"/>
    <mergeCell ref="F13:G13"/>
    <mergeCell ref="F37:G37"/>
    <mergeCell ref="F38:G38"/>
    <mergeCell ref="A1:E1"/>
    <mergeCell ref="F1:G1"/>
    <mergeCell ref="F5:G5"/>
    <mergeCell ref="F6:G6"/>
    <mergeCell ref="F7:G7"/>
    <mergeCell ref="F3:F4"/>
    <mergeCell ref="A3:A4"/>
    <mergeCell ref="B3:B4"/>
    <mergeCell ref="C3:C4"/>
    <mergeCell ref="F40:G40"/>
    <mergeCell ref="F41:G41"/>
    <mergeCell ref="F32:G32"/>
    <mergeCell ref="F33:G33"/>
    <mergeCell ref="F34:G34"/>
    <mergeCell ref="F35:G35"/>
    <mergeCell ref="F36:G36"/>
    <mergeCell ref="F39:G39"/>
    <mergeCell ref="F14:G14"/>
  </mergeCells>
  <phoneticPr fontId="1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264"/>
  <sheetViews>
    <sheetView workbookViewId="0">
      <pane xSplit="5" ySplit="7" topLeftCell="F62" activePane="bottomRight" state="frozen"/>
      <selection pane="topRight" activeCell="F1" sqref="F1"/>
      <selection pane="bottomLeft" activeCell="A8" sqref="A8"/>
      <selection pane="bottomRight" activeCell="G4" sqref="G4"/>
    </sheetView>
  </sheetViews>
  <sheetFormatPr defaultRowHeight="16.5" x14ac:dyDescent="0.25"/>
  <cols>
    <col min="1" max="1" width="10.375" bestFit="1" customWidth="1"/>
    <col min="2" max="2" width="12.75" customWidth="1"/>
    <col min="3" max="3" width="12.125" bestFit="1" customWidth="1"/>
    <col min="4" max="4" width="8.125" bestFit="1" customWidth="1"/>
    <col min="5" max="5" width="10.375" bestFit="1" customWidth="1"/>
    <col min="7" max="7" width="14.125" bestFit="1" customWidth="1"/>
    <col min="11" max="11" width="12.125" bestFit="1" customWidth="1"/>
  </cols>
  <sheetData>
    <row r="1" spans="1:11" x14ac:dyDescent="0.25">
      <c r="A1" s="49" t="s">
        <v>7</v>
      </c>
      <c r="B1" s="50"/>
      <c r="C1" s="50"/>
      <c r="D1" s="50"/>
      <c r="E1" s="50"/>
      <c r="F1" s="65" t="s">
        <v>46</v>
      </c>
      <c r="G1" s="66"/>
      <c r="J1" s="2"/>
      <c r="K1" s="3"/>
    </row>
    <row r="2" spans="1:1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11" x14ac:dyDescent="0.25">
      <c r="A3" s="56">
        <f>(E3-F3)/D3</f>
        <v>31.962575633076867</v>
      </c>
      <c r="B3" s="63">
        <f>E3/D3</f>
        <v>36.554791962351537</v>
      </c>
      <c r="C3" s="64">
        <f>SUM('56股價'!B2)</f>
        <v>44.85</v>
      </c>
      <c r="D3" s="55">
        <f>SUM(D6:D1000)</f>
        <v>13387</v>
      </c>
      <c r="E3" s="55">
        <f>SUM(E6:E1000)</f>
        <v>489359</v>
      </c>
      <c r="F3" s="55">
        <f>SUM(F6:F1000)</f>
        <v>61476</v>
      </c>
      <c r="G3" s="7">
        <f>G4/E3</f>
        <v>0.35255088799838158</v>
      </c>
    </row>
    <row r="4" spans="1:11" x14ac:dyDescent="0.25">
      <c r="A4" s="56"/>
      <c r="B4" s="63"/>
      <c r="C4" s="64"/>
      <c r="D4" s="55"/>
      <c r="E4" s="55"/>
      <c r="F4" s="55"/>
      <c r="G4" s="8">
        <f>(C3-B3)*D3+F3</f>
        <v>172523.95</v>
      </c>
    </row>
    <row r="5" spans="1:11" x14ac:dyDescent="0.25">
      <c r="A5" s="14" t="s">
        <v>8</v>
      </c>
      <c r="B5" s="14" t="s">
        <v>9</v>
      </c>
      <c r="C5" s="14" t="s">
        <v>10</v>
      </c>
      <c r="D5" s="14" t="s">
        <v>11</v>
      </c>
      <c r="E5" s="14" t="s">
        <v>12</v>
      </c>
      <c r="F5" s="70" t="s">
        <v>5</v>
      </c>
      <c r="G5" s="70"/>
    </row>
    <row r="6" spans="1:11" x14ac:dyDescent="0.25">
      <c r="A6" s="9">
        <v>1</v>
      </c>
      <c r="B6" s="19">
        <v>20231225</v>
      </c>
      <c r="C6" s="19">
        <v>36.450000000000003</v>
      </c>
      <c r="D6" s="19">
        <v>150</v>
      </c>
      <c r="E6" s="19">
        <v>5469</v>
      </c>
      <c r="F6" s="52"/>
      <c r="G6" s="52"/>
    </row>
    <row r="7" spans="1:11" x14ac:dyDescent="0.25">
      <c r="A7" s="9">
        <v>2</v>
      </c>
      <c r="B7" s="20">
        <v>20240116</v>
      </c>
      <c r="C7" s="20">
        <v>36.31</v>
      </c>
      <c r="D7" s="20">
        <v>1000</v>
      </c>
      <c r="E7" s="20">
        <v>36344</v>
      </c>
      <c r="F7" s="59"/>
      <c r="G7" s="59"/>
    </row>
    <row r="8" spans="1:11" x14ac:dyDescent="0.25">
      <c r="A8" s="9">
        <v>3</v>
      </c>
      <c r="B8" s="20">
        <v>20240125</v>
      </c>
      <c r="C8" s="20">
        <v>36.36</v>
      </c>
      <c r="D8" s="20">
        <v>150</v>
      </c>
      <c r="E8" s="20">
        <v>5455</v>
      </c>
      <c r="F8" s="59"/>
      <c r="G8" s="59"/>
    </row>
    <row r="9" spans="1:11" x14ac:dyDescent="0.25">
      <c r="A9" s="9">
        <v>4</v>
      </c>
      <c r="B9" s="20">
        <v>20240221</v>
      </c>
      <c r="C9" s="20"/>
      <c r="D9" s="20"/>
      <c r="E9" s="20"/>
      <c r="F9" s="59">
        <v>795</v>
      </c>
      <c r="G9" s="59"/>
    </row>
    <row r="10" spans="1:11" x14ac:dyDescent="0.25">
      <c r="A10" s="9">
        <v>5</v>
      </c>
      <c r="B10" s="20">
        <v>20240226</v>
      </c>
      <c r="C10" s="20">
        <v>37.58</v>
      </c>
      <c r="D10" s="20">
        <v>155</v>
      </c>
      <c r="E10" s="20">
        <v>5450</v>
      </c>
      <c r="F10" s="59"/>
      <c r="G10" s="59"/>
    </row>
    <row r="11" spans="1:11" x14ac:dyDescent="0.25">
      <c r="A11" s="9">
        <v>6</v>
      </c>
      <c r="B11" s="20">
        <v>20240325</v>
      </c>
      <c r="C11" s="20">
        <v>39.82</v>
      </c>
      <c r="D11" s="20">
        <v>137</v>
      </c>
      <c r="E11" s="20">
        <v>5456</v>
      </c>
      <c r="F11" s="59"/>
      <c r="G11" s="59"/>
    </row>
    <row r="12" spans="1:11" x14ac:dyDescent="0.25">
      <c r="A12" s="9">
        <v>7</v>
      </c>
      <c r="B12" s="20">
        <v>20240425</v>
      </c>
      <c r="C12" s="20">
        <v>37.520000000000003</v>
      </c>
      <c r="D12" s="20">
        <v>144</v>
      </c>
      <c r="E12" s="20">
        <v>5404</v>
      </c>
      <c r="F12" s="59"/>
      <c r="G12" s="59"/>
    </row>
    <row r="13" spans="1:11" x14ac:dyDescent="0.25">
      <c r="A13" s="9">
        <v>8</v>
      </c>
      <c r="B13" s="20">
        <v>20240515</v>
      </c>
      <c r="C13" s="20"/>
      <c r="D13" s="20"/>
      <c r="E13" s="20"/>
      <c r="F13" s="59">
        <v>1240</v>
      </c>
      <c r="G13" s="59"/>
    </row>
    <row r="14" spans="1:11" x14ac:dyDescent="0.25">
      <c r="A14" s="9">
        <v>9</v>
      </c>
      <c r="B14" s="20">
        <v>20240527</v>
      </c>
      <c r="C14" s="20">
        <v>40.450000000000003</v>
      </c>
      <c r="D14" s="20">
        <v>136</v>
      </c>
      <c r="E14" s="20">
        <v>5502</v>
      </c>
      <c r="F14" s="59"/>
      <c r="G14" s="59"/>
    </row>
    <row r="15" spans="1:11" x14ac:dyDescent="0.25">
      <c r="A15" s="9">
        <v>10</v>
      </c>
      <c r="B15" s="20">
        <v>20240625</v>
      </c>
      <c r="C15" s="20">
        <v>41.2</v>
      </c>
      <c r="D15" s="20">
        <v>131</v>
      </c>
      <c r="E15" s="20">
        <v>5398</v>
      </c>
      <c r="F15" s="59"/>
      <c r="G15" s="59"/>
    </row>
    <row r="16" spans="1:11" x14ac:dyDescent="0.25">
      <c r="A16" s="9">
        <v>11</v>
      </c>
      <c r="B16" s="20">
        <v>20240726</v>
      </c>
      <c r="C16" s="20">
        <v>38.58</v>
      </c>
      <c r="D16" s="20">
        <v>2000</v>
      </c>
      <c r="E16" s="20">
        <v>77231</v>
      </c>
      <c r="F16" s="59"/>
      <c r="G16" s="59"/>
    </row>
    <row r="17" spans="1:7" x14ac:dyDescent="0.25">
      <c r="A17" s="9">
        <v>12</v>
      </c>
      <c r="B17" s="20">
        <v>20240726</v>
      </c>
      <c r="C17" s="20">
        <v>38.549999999999997</v>
      </c>
      <c r="D17" s="20">
        <v>138</v>
      </c>
      <c r="E17" s="20">
        <v>5321</v>
      </c>
      <c r="F17" s="59"/>
      <c r="G17" s="59"/>
    </row>
    <row r="18" spans="1:7" x14ac:dyDescent="0.25">
      <c r="A18" s="9">
        <v>13</v>
      </c>
      <c r="B18" s="20">
        <v>20240805</v>
      </c>
      <c r="C18" s="20">
        <v>35.619999999999997</v>
      </c>
      <c r="D18" s="20">
        <v>6000</v>
      </c>
      <c r="E18" s="20">
        <v>213918</v>
      </c>
      <c r="F18" s="59"/>
      <c r="G18" s="59"/>
    </row>
    <row r="19" spans="1:7" x14ac:dyDescent="0.25">
      <c r="A19" s="9">
        <v>14</v>
      </c>
      <c r="B19" s="20">
        <v>20240809</v>
      </c>
      <c r="C19" s="20"/>
      <c r="D19" s="20"/>
      <c r="E19" s="20"/>
      <c r="F19" s="59">
        <v>2123</v>
      </c>
      <c r="G19" s="59"/>
    </row>
    <row r="20" spans="1:7" x14ac:dyDescent="0.25">
      <c r="A20" s="9">
        <v>15</v>
      </c>
      <c r="B20" s="20">
        <v>20240815</v>
      </c>
      <c r="C20" s="20">
        <v>38.409999999999997</v>
      </c>
      <c r="D20" s="20">
        <v>59</v>
      </c>
      <c r="E20" s="20">
        <v>2267</v>
      </c>
      <c r="F20" s="59"/>
      <c r="G20" s="59"/>
    </row>
    <row r="21" spans="1:7" x14ac:dyDescent="0.25">
      <c r="A21" s="9">
        <v>16</v>
      </c>
      <c r="B21" s="20">
        <v>20240826</v>
      </c>
      <c r="C21" s="20">
        <v>38.9</v>
      </c>
      <c r="D21" s="20">
        <v>58</v>
      </c>
      <c r="E21" s="20">
        <v>2257</v>
      </c>
      <c r="F21" s="59"/>
      <c r="G21" s="59"/>
    </row>
    <row r="22" spans="1:7" x14ac:dyDescent="0.25">
      <c r="A22" s="9">
        <v>17</v>
      </c>
      <c r="B22" s="20">
        <v>20240905</v>
      </c>
      <c r="C22" s="20">
        <v>37.869999999999997</v>
      </c>
      <c r="D22" s="20">
        <v>60</v>
      </c>
      <c r="E22" s="20">
        <v>2273</v>
      </c>
      <c r="F22" s="59"/>
      <c r="G22" s="59"/>
    </row>
    <row r="23" spans="1:7" x14ac:dyDescent="0.25">
      <c r="A23" s="9">
        <v>18</v>
      </c>
      <c r="B23" s="20">
        <v>20240916</v>
      </c>
      <c r="C23" s="20">
        <v>37.89</v>
      </c>
      <c r="D23" s="20">
        <v>60</v>
      </c>
      <c r="E23" s="20">
        <v>2274</v>
      </c>
      <c r="F23" s="59"/>
      <c r="G23" s="59"/>
    </row>
    <row r="24" spans="1:7" x14ac:dyDescent="0.25">
      <c r="A24" s="9">
        <v>19</v>
      </c>
      <c r="B24" s="20">
        <v>20240925</v>
      </c>
      <c r="C24" s="20">
        <v>38.549999999999997</v>
      </c>
      <c r="D24" s="20">
        <v>59</v>
      </c>
      <c r="E24" s="20">
        <v>2276</v>
      </c>
      <c r="F24" s="59"/>
      <c r="G24" s="59"/>
    </row>
    <row r="25" spans="1:7" x14ac:dyDescent="0.25">
      <c r="A25" s="9">
        <v>20</v>
      </c>
      <c r="B25" s="20">
        <v>20241007</v>
      </c>
      <c r="C25" s="20">
        <v>38.57</v>
      </c>
      <c r="D25" s="20">
        <v>59</v>
      </c>
      <c r="E25" s="20">
        <v>2277</v>
      </c>
      <c r="F25" s="59"/>
      <c r="G25" s="59"/>
    </row>
    <row r="26" spans="1:7" x14ac:dyDescent="0.25">
      <c r="A26" s="9">
        <v>21</v>
      </c>
      <c r="B26" s="20">
        <v>20241015</v>
      </c>
      <c r="C26" s="20">
        <v>38.869999999999997</v>
      </c>
      <c r="D26" s="20">
        <v>58</v>
      </c>
      <c r="E26" s="20">
        <v>2255</v>
      </c>
      <c r="F26" s="59"/>
      <c r="G26" s="59"/>
    </row>
    <row r="27" spans="1:7" x14ac:dyDescent="0.25">
      <c r="A27" s="9">
        <v>22</v>
      </c>
      <c r="B27" s="20">
        <v>20241025</v>
      </c>
      <c r="C27" s="20">
        <v>37.840000000000003</v>
      </c>
      <c r="D27" s="20">
        <v>60</v>
      </c>
      <c r="E27" s="20">
        <v>2271</v>
      </c>
      <c r="F27" s="59"/>
      <c r="G27" s="59"/>
    </row>
    <row r="28" spans="1:7" x14ac:dyDescent="0.25">
      <c r="A28" s="9">
        <v>23</v>
      </c>
      <c r="B28" s="20">
        <v>20241105</v>
      </c>
      <c r="C28" s="20">
        <v>37.39</v>
      </c>
      <c r="D28" s="20">
        <v>60</v>
      </c>
      <c r="E28" s="20">
        <v>2245</v>
      </c>
      <c r="F28" s="59"/>
      <c r="G28" s="59"/>
    </row>
    <row r="29" spans="1:7" x14ac:dyDescent="0.25">
      <c r="A29" s="9">
        <v>24</v>
      </c>
      <c r="B29" s="20">
        <v>20241112</v>
      </c>
      <c r="C29" s="20"/>
      <c r="D29" s="20"/>
      <c r="E29" s="20"/>
      <c r="F29" s="59">
        <v>11272</v>
      </c>
      <c r="G29" s="59"/>
    </row>
    <row r="30" spans="1:7" x14ac:dyDescent="0.25">
      <c r="A30" s="9">
        <v>25</v>
      </c>
      <c r="B30" s="20">
        <v>20241115</v>
      </c>
      <c r="C30" s="20">
        <v>37.130000000000003</v>
      </c>
      <c r="D30" s="20">
        <v>61</v>
      </c>
      <c r="E30" s="20">
        <v>2266</v>
      </c>
      <c r="F30" s="59"/>
      <c r="G30" s="59"/>
    </row>
    <row r="31" spans="1:7" x14ac:dyDescent="0.25">
      <c r="A31" s="9">
        <v>26</v>
      </c>
      <c r="B31" s="20">
        <v>20241125</v>
      </c>
      <c r="C31" s="20">
        <v>37.6</v>
      </c>
      <c r="D31" s="20">
        <v>60</v>
      </c>
      <c r="E31" s="20">
        <v>2257</v>
      </c>
      <c r="F31" s="59"/>
      <c r="G31" s="59"/>
    </row>
    <row r="32" spans="1:7" x14ac:dyDescent="0.25">
      <c r="A32" s="9">
        <v>27</v>
      </c>
      <c r="B32" s="20">
        <v>20241205</v>
      </c>
      <c r="C32" s="20">
        <v>37.25</v>
      </c>
      <c r="D32" s="20">
        <v>61</v>
      </c>
      <c r="E32" s="20">
        <v>2273</v>
      </c>
      <c r="F32" s="23"/>
      <c r="G32" s="24"/>
    </row>
    <row r="33" spans="1:7" x14ac:dyDescent="0.25">
      <c r="A33" s="9">
        <v>28</v>
      </c>
      <c r="B33" s="20">
        <v>20241216</v>
      </c>
      <c r="C33" s="20">
        <v>36.97</v>
      </c>
      <c r="D33" s="20">
        <v>61</v>
      </c>
      <c r="E33" s="20">
        <v>2256</v>
      </c>
      <c r="F33" s="23"/>
      <c r="G33" s="24"/>
    </row>
    <row r="34" spans="1:7" x14ac:dyDescent="0.25">
      <c r="A34" s="9">
        <v>29</v>
      </c>
      <c r="B34" s="20">
        <v>20241225</v>
      </c>
      <c r="C34" s="20">
        <v>37.11</v>
      </c>
      <c r="D34" s="20">
        <v>61</v>
      </c>
      <c r="E34" s="20">
        <v>2265</v>
      </c>
      <c r="F34" s="23"/>
      <c r="G34" s="24"/>
    </row>
    <row r="35" spans="1:7" x14ac:dyDescent="0.25">
      <c r="A35" s="9">
        <v>30</v>
      </c>
      <c r="B35" s="28">
        <v>20250106</v>
      </c>
      <c r="C35" s="28">
        <v>37.049999999999997</v>
      </c>
      <c r="D35" s="28">
        <v>61</v>
      </c>
      <c r="E35" s="28">
        <v>2261</v>
      </c>
      <c r="F35" s="29"/>
      <c r="G35" s="30"/>
    </row>
    <row r="36" spans="1:7" x14ac:dyDescent="0.25">
      <c r="A36" s="9">
        <v>31</v>
      </c>
      <c r="B36" s="28">
        <v>20250115</v>
      </c>
      <c r="C36" s="28">
        <v>36.42</v>
      </c>
      <c r="D36" s="28">
        <v>62</v>
      </c>
      <c r="E36" s="28">
        <v>2259</v>
      </c>
      <c r="F36" s="29"/>
      <c r="G36" s="30"/>
    </row>
    <row r="37" spans="1:7" x14ac:dyDescent="0.25">
      <c r="A37" s="9">
        <v>32</v>
      </c>
      <c r="B37" s="28">
        <v>20250203</v>
      </c>
      <c r="C37" s="28">
        <v>35.46</v>
      </c>
      <c r="D37" s="28">
        <v>63</v>
      </c>
      <c r="E37" s="28">
        <v>2235</v>
      </c>
      <c r="F37" s="71"/>
      <c r="G37" s="72"/>
    </row>
    <row r="38" spans="1:7" x14ac:dyDescent="0.25">
      <c r="A38" s="9">
        <v>33</v>
      </c>
      <c r="B38" s="28">
        <v>20250205</v>
      </c>
      <c r="C38" s="28">
        <v>35.49</v>
      </c>
      <c r="D38" s="28">
        <v>64</v>
      </c>
      <c r="E38" s="28">
        <v>2272</v>
      </c>
      <c r="F38" s="71"/>
      <c r="G38" s="72"/>
    </row>
    <row r="39" spans="1:7" x14ac:dyDescent="0.25">
      <c r="A39" s="9">
        <v>34</v>
      </c>
      <c r="B39" s="28">
        <v>20250217</v>
      </c>
      <c r="C39" s="28">
        <v>36.56</v>
      </c>
      <c r="D39" s="28">
        <v>62</v>
      </c>
      <c r="E39" s="28">
        <v>2268</v>
      </c>
      <c r="F39" s="31"/>
      <c r="G39" s="32"/>
    </row>
    <row r="40" spans="1:7" x14ac:dyDescent="0.25">
      <c r="A40" s="9">
        <v>35</v>
      </c>
      <c r="B40" s="28">
        <v>20250220</v>
      </c>
      <c r="C40" s="28"/>
      <c r="D40" s="28"/>
      <c r="E40" s="28"/>
      <c r="F40" s="71">
        <v>11858</v>
      </c>
      <c r="G40" s="72"/>
    </row>
    <row r="41" spans="1:7" x14ac:dyDescent="0.25">
      <c r="A41" s="9">
        <v>36</v>
      </c>
      <c r="B41" s="28">
        <v>20250225</v>
      </c>
      <c r="C41" s="28">
        <v>36.869999999999997</v>
      </c>
      <c r="D41" s="28">
        <v>61</v>
      </c>
      <c r="E41" s="28">
        <v>2250</v>
      </c>
      <c r="F41" s="71"/>
      <c r="G41" s="72"/>
    </row>
    <row r="42" spans="1:7" x14ac:dyDescent="0.25">
      <c r="A42" s="9">
        <v>37</v>
      </c>
      <c r="B42" s="28">
        <v>20250305</v>
      </c>
      <c r="C42" s="28">
        <v>36.6</v>
      </c>
      <c r="D42" s="28">
        <v>62</v>
      </c>
      <c r="E42" s="28">
        <v>2270</v>
      </c>
      <c r="F42" s="29"/>
      <c r="G42" s="30"/>
    </row>
    <row r="43" spans="1:7" x14ac:dyDescent="0.25">
      <c r="A43" s="9">
        <v>38</v>
      </c>
      <c r="B43" s="28">
        <v>20250317</v>
      </c>
      <c r="C43" s="28">
        <v>36.020000000000003</v>
      </c>
      <c r="D43" s="28">
        <v>63</v>
      </c>
      <c r="E43" s="28">
        <v>2270</v>
      </c>
      <c r="F43" s="29"/>
      <c r="G43" s="30"/>
    </row>
    <row r="44" spans="1:7" x14ac:dyDescent="0.25">
      <c r="A44" s="9">
        <v>39</v>
      </c>
      <c r="B44" s="28">
        <v>20250325</v>
      </c>
      <c r="C44" s="28">
        <v>36.43</v>
      </c>
      <c r="D44" s="28">
        <v>62</v>
      </c>
      <c r="E44" s="28">
        <v>2260</v>
      </c>
      <c r="F44" s="29"/>
      <c r="G44" s="30"/>
    </row>
    <row r="45" spans="1:7" x14ac:dyDescent="0.25">
      <c r="A45" s="9">
        <v>40</v>
      </c>
      <c r="B45" s="28">
        <v>20250407</v>
      </c>
      <c r="C45" s="28">
        <v>31.66</v>
      </c>
      <c r="D45" s="28">
        <v>64</v>
      </c>
      <c r="E45" s="28">
        <v>2027</v>
      </c>
      <c r="F45" s="29"/>
      <c r="G45" s="30"/>
    </row>
    <row r="46" spans="1:7" x14ac:dyDescent="0.25">
      <c r="A46" s="9">
        <v>41</v>
      </c>
      <c r="B46" s="28">
        <v>20250415</v>
      </c>
      <c r="C46" s="28">
        <v>32.82</v>
      </c>
      <c r="D46" s="28">
        <v>69</v>
      </c>
      <c r="E46" s="28">
        <v>2266</v>
      </c>
      <c r="F46" s="29"/>
      <c r="G46" s="30"/>
    </row>
    <row r="47" spans="1:7" x14ac:dyDescent="0.25">
      <c r="A47" s="9">
        <v>42</v>
      </c>
      <c r="B47" s="28">
        <v>20250425</v>
      </c>
      <c r="C47" s="28">
        <v>32.03</v>
      </c>
      <c r="D47" s="28">
        <v>72</v>
      </c>
      <c r="E47" s="28">
        <v>2307</v>
      </c>
      <c r="F47" s="29"/>
      <c r="G47" s="30"/>
    </row>
    <row r="48" spans="1:7" x14ac:dyDescent="0.25">
      <c r="A48" s="9">
        <v>43</v>
      </c>
      <c r="B48" s="28">
        <v>20250505</v>
      </c>
      <c r="C48" s="28">
        <v>32.81</v>
      </c>
      <c r="D48" s="28">
        <v>69</v>
      </c>
      <c r="E48" s="28">
        <v>2265</v>
      </c>
      <c r="F48" s="29"/>
      <c r="G48" s="30"/>
    </row>
    <row r="49" spans="1:7" x14ac:dyDescent="0.25">
      <c r="A49" s="9">
        <v>44</v>
      </c>
      <c r="B49" s="28">
        <v>20250514</v>
      </c>
      <c r="C49" s="28"/>
      <c r="D49" s="28"/>
      <c r="E49" s="28"/>
      <c r="F49" s="29">
        <v>12468</v>
      </c>
      <c r="G49" s="30"/>
    </row>
    <row r="50" spans="1:7" x14ac:dyDescent="0.25">
      <c r="A50" s="9">
        <v>45</v>
      </c>
      <c r="B50" s="28">
        <v>20250515</v>
      </c>
      <c r="C50" s="28">
        <v>34.44</v>
      </c>
      <c r="D50" s="28">
        <v>65</v>
      </c>
      <c r="E50" s="28">
        <v>2240</v>
      </c>
      <c r="F50" s="29"/>
      <c r="G50" s="30"/>
    </row>
    <row r="51" spans="1:7" x14ac:dyDescent="0.25">
      <c r="A51" s="9">
        <v>46</v>
      </c>
      <c r="B51" s="28">
        <v>20250526</v>
      </c>
      <c r="C51" s="28">
        <v>34.21</v>
      </c>
      <c r="D51" s="28">
        <v>66</v>
      </c>
      <c r="E51" s="28">
        <v>2259</v>
      </c>
      <c r="F51" s="29"/>
      <c r="G51" s="30"/>
    </row>
    <row r="52" spans="1:7" x14ac:dyDescent="0.25">
      <c r="A52" s="9">
        <v>47</v>
      </c>
      <c r="B52" s="28">
        <v>20250605</v>
      </c>
      <c r="C52" s="28">
        <v>34.19</v>
      </c>
      <c r="D52" s="28">
        <v>66</v>
      </c>
      <c r="E52" s="28">
        <v>2258</v>
      </c>
      <c r="F52" s="29"/>
      <c r="G52" s="30"/>
    </row>
    <row r="53" spans="1:7" x14ac:dyDescent="0.25">
      <c r="A53" s="9">
        <v>48</v>
      </c>
      <c r="B53" s="28">
        <v>20250616</v>
      </c>
      <c r="C53" s="28">
        <v>34.53</v>
      </c>
      <c r="D53" s="28">
        <v>65</v>
      </c>
      <c r="E53" s="28">
        <v>2245</v>
      </c>
      <c r="F53" s="29"/>
      <c r="G53" s="30"/>
    </row>
    <row r="54" spans="1:7" x14ac:dyDescent="0.25">
      <c r="A54" s="9">
        <v>49</v>
      </c>
      <c r="B54" s="28">
        <v>20250625</v>
      </c>
      <c r="C54" s="28">
        <v>34.71</v>
      </c>
      <c r="D54" s="28">
        <v>65</v>
      </c>
      <c r="E54" s="28">
        <v>2257</v>
      </c>
      <c r="F54" s="29"/>
      <c r="G54" s="30"/>
    </row>
    <row r="55" spans="1:7" x14ac:dyDescent="0.25">
      <c r="A55" s="9">
        <v>50</v>
      </c>
      <c r="B55" s="28">
        <v>20250707</v>
      </c>
      <c r="C55" s="28">
        <v>34.770000000000003</v>
      </c>
      <c r="D55" s="28">
        <v>65</v>
      </c>
      <c r="E55" s="28">
        <v>2261</v>
      </c>
      <c r="F55" s="29"/>
      <c r="G55" s="30"/>
    </row>
    <row r="56" spans="1:7" x14ac:dyDescent="0.25">
      <c r="A56" s="9">
        <v>51</v>
      </c>
      <c r="B56" s="28">
        <v>20250715</v>
      </c>
      <c r="C56" s="28">
        <v>35.090000000000003</v>
      </c>
      <c r="D56" s="28">
        <v>64</v>
      </c>
      <c r="E56" s="28">
        <v>2247</v>
      </c>
      <c r="F56" s="29"/>
      <c r="G56" s="30"/>
    </row>
    <row r="57" spans="1:7" x14ac:dyDescent="0.25">
      <c r="A57" s="9">
        <v>52</v>
      </c>
      <c r="B57" s="28">
        <v>20250725</v>
      </c>
      <c r="C57" s="28">
        <v>34.85</v>
      </c>
      <c r="D57" s="28">
        <v>65</v>
      </c>
      <c r="E57" s="28">
        <v>2266</v>
      </c>
      <c r="F57" s="29"/>
      <c r="G57" s="30"/>
    </row>
    <row r="58" spans="1:7" x14ac:dyDescent="0.25">
      <c r="A58" s="9">
        <v>53</v>
      </c>
      <c r="B58" s="28">
        <v>20250805</v>
      </c>
      <c r="C58" s="28">
        <v>34.97</v>
      </c>
      <c r="D58" s="28">
        <v>65</v>
      </c>
      <c r="E58" s="28">
        <v>2274</v>
      </c>
      <c r="F58" s="29"/>
      <c r="G58" s="30"/>
    </row>
    <row r="59" spans="1:7" x14ac:dyDescent="0.25">
      <c r="A59" s="9">
        <v>54</v>
      </c>
      <c r="B59" s="28">
        <v>20250808</v>
      </c>
      <c r="C59" s="28"/>
      <c r="D59" s="28"/>
      <c r="E59" s="28"/>
      <c r="F59" s="29">
        <v>10606</v>
      </c>
      <c r="G59" s="30"/>
    </row>
    <row r="60" spans="1:7" x14ac:dyDescent="0.25">
      <c r="A60" s="9">
        <v>55</v>
      </c>
      <c r="B60" s="28">
        <v>20250815</v>
      </c>
      <c r="C60" s="28">
        <v>35.08</v>
      </c>
      <c r="D60" s="28">
        <v>64</v>
      </c>
      <c r="E60" s="28">
        <v>2246</v>
      </c>
      <c r="F60" s="29"/>
      <c r="G60" s="30"/>
    </row>
    <row r="61" spans="1:7" x14ac:dyDescent="0.25">
      <c r="A61" s="9">
        <v>56</v>
      </c>
      <c r="B61" s="28">
        <v>20250825</v>
      </c>
      <c r="C61" s="28">
        <v>35.06</v>
      </c>
      <c r="D61" s="28">
        <v>65</v>
      </c>
      <c r="E61" s="28">
        <v>2280</v>
      </c>
      <c r="F61" s="29"/>
      <c r="G61" s="30"/>
    </row>
    <row r="62" spans="1:7" x14ac:dyDescent="0.25">
      <c r="A62" s="9">
        <v>57</v>
      </c>
      <c r="B62" s="28">
        <v>20250905</v>
      </c>
      <c r="C62" s="28">
        <v>35.049999999999997</v>
      </c>
      <c r="D62" s="28">
        <v>65</v>
      </c>
      <c r="E62" s="28">
        <v>2279</v>
      </c>
      <c r="F62" s="29"/>
      <c r="G62" s="30"/>
    </row>
    <row r="63" spans="1:7" x14ac:dyDescent="0.25">
      <c r="A63" s="9">
        <v>58</v>
      </c>
      <c r="B63" s="28">
        <v>20250915</v>
      </c>
      <c r="C63" s="28">
        <v>36.299999999999997</v>
      </c>
      <c r="D63" s="28">
        <v>62</v>
      </c>
      <c r="E63" s="28">
        <v>2252</v>
      </c>
      <c r="F63" s="29"/>
      <c r="G63" s="30"/>
    </row>
    <row r="64" spans="1:7" x14ac:dyDescent="0.25">
      <c r="A64" s="9">
        <v>59</v>
      </c>
      <c r="B64" s="28">
        <v>20250925</v>
      </c>
      <c r="C64" s="28">
        <v>37.06</v>
      </c>
      <c r="D64" s="28">
        <v>67</v>
      </c>
      <c r="E64" s="28">
        <v>2484</v>
      </c>
      <c r="F64" s="29"/>
      <c r="G64" s="30"/>
    </row>
    <row r="65" spans="1:7" x14ac:dyDescent="0.25">
      <c r="A65" s="9">
        <v>60</v>
      </c>
      <c r="B65" s="28">
        <v>20251007</v>
      </c>
      <c r="C65" s="28">
        <v>37.36</v>
      </c>
      <c r="D65" s="28">
        <v>66</v>
      </c>
      <c r="E65" s="28">
        <v>2466</v>
      </c>
      <c r="F65" s="29"/>
      <c r="G65" s="30"/>
    </row>
    <row r="66" spans="1:7" x14ac:dyDescent="0.25">
      <c r="A66" s="9">
        <v>61</v>
      </c>
      <c r="B66" s="28">
        <v>20251015</v>
      </c>
      <c r="C66" s="28">
        <v>36.61</v>
      </c>
      <c r="D66" s="28">
        <v>68</v>
      </c>
      <c r="E66" s="28">
        <v>2490</v>
      </c>
      <c r="F66" s="29"/>
      <c r="G66" s="30"/>
    </row>
    <row r="67" spans="1:7" x14ac:dyDescent="0.25">
      <c r="A67" s="9">
        <v>62</v>
      </c>
      <c r="B67" s="28">
        <v>20251027</v>
      </c>
      <c r="C67" s="28">
        <v>37.229999999999997</v>
      </c>
      <c r="D67" s="28">
        <v>67</v>
      </c>
      <c r="E67" s="28">
        <v>2494</v>
      </c>
      <c r="F67" s="29"/>
      <c r="G67" s="30"/>
    </row>
    <row r="68" spans="1:7" x14ac:dyDescent="0.25">
      <c r="A68" s="9">
        <v>63</v>
      </c>
      <c r="B68" s="28">
        <v>20251105</v>
      </c>
      <c r="C68" s="28">
        <v>36.36</v>
      </c>
      <c r="D68" s="28">
        <v>68</v>
      </c>
      <c r="E68" s="28">
        <v>2473</v>
      </c>
      <c r="F68" s="29"/>
      <c r="G68" s="30"/>
    </row>
    <row r="69" spans="1:7" x14ac:dyDescent="0.25">
      <c r="A69" s="9">
        <v>64</v>
      </c>
      <c r="B69" s="28">
        <v>20251114</v>
      </c>
      <c r="C69" s="28"/>
      <c r="D69" s="28"/>
      <c r="E69" s="28"/>
      <c r="F69" s="29">
        <v>11114</v>
      </c>
      <c r="G69" s="30"/>
    </row>
    <row r="70" spans="1:7" x14ac:dyDescent="0.25">
      <c r="A70" s="9">
        <v>65</v>
      </c>
      <c r="B70" s="28">
        <v>20251117</v>
      </c>
      <c r="C70" s="28">
        <v>35.99</v>
      </c>
      <c r="D70" s="28">
        <v>69</v>
      </c>
      <c r="E70" s="28">
        <v>2484</v>
      </c>
      <c r="F70" s="29"/>
      <c r="G70" s="30"/>
    </row>
    <row r="71" spans="1:7" x14ac:dyDescent="0.25">
      <c r="A71" s="9">
        <v>66</v>
      </c>
      <c r="B71" s="28">
        <v>20251117</v>
      </c>
      <c r="C71" s="28">
        <v>62.1</v>
      </c>
      <c r="D71" s="28">
        <v>53</v>
      </c>
      <c r="E71" s="28">
        <v>3292</v>
      </c>
      <c r="F71" s="29"/>
      <c r="G71" s="30"/>
    </row>
    <row r="72" spans="1:7" x14ac:dyDescent="0.25">
      <c r="A72" s="9">
        <v>67</v>
      </c>
      <c r="B72" s="28">
        <v>20251125</v>
      </c>
      <c r="C72" s="28">
        <v>35.32</v>
      </c>
      <c r="D72" s="28">
        <v>70</v>
      </c>
      <c r="E72" s="28">
        <v>2473</v>
      </c>
      <c r="F72" s="29"/>
      <c r="G72" s="30"/>
    </row>
    <row r="73" spans="1:7" x14ac:dyDescent="0.25">
      <c r="A73" s="9">
        <v>68</v>
      </c>
      <c r="B73" s="28">
        <v>20251205</v>
      </c>
      <c r="C73" s="28">
        <v>36.51</v>
      </c>
      <c r="D73" s="28">
        <v>68</v>
      </c>
      <c r="E73" s="28">
        <v>2484</v>
      </c>
      <c r="F73" s="29"/>
      <c r="G73" s="30"/>
    </row>
    <row r="74" spans="1:7" x14ac:dyDescent="0.25">
      <c r="A74" s="9">
        <v>69</v>
      </c>
      <c r="B74" s="28">
        <v>20251215</v>
      </c>
      <c r="C74" s="28">
        <v>36.19</v>
      </c>
      <c r="D74" s="28">
        <v>69</v>
      </c>
      <c r="E74" s="28">
        <v>2498</v>
      </c>
      <c r="F74" s="29"/>
      <c r="G74" s="30"/>
    </row>
    <row r="75" spans="1:7" x14ac:dyDescent="0.25">
      <c r="A75" s="9">
        <v>70</v>
      </c>
      <c r="B75" s="28">
        <v>20251226</v>
      </c>
      <c r="C75" s="28">
        <v>36.56</v>
      </c>
      <c r="D75" s="28">
        <v>68</v>
      </c>
      <c r="E75" s="28">
        <v>2487</v>
      </c>
      <c r="F75" s="29"/>
      <c r="G75" s="30"/>
    </row>
    <row r="76" spans="1:7" x14ac:dyDescent="0.25">
      <c r="A76" s="9">
        <v>71</v>
      </c>
      <c r="B76" s="39"/>
      <c r="C76" s="39"/>
      <c r="D76" s="39"/>
      <c r="E76" s="39"/>
      <c r="F76" s="40"/>
      <c r="G76" s="41"/>
    </row>
    <row r="77" spans="1:7" x14ac:dyDescent="0.25">
      <c r="A77" s="9">
        <v>72</v>
      </c>
      <c r="B77" s="39"/>
      <c r="C77" s="39"/>
      <c r="D77" s="39"/>
      <c r="E77" s="39"/>
      <c r="F77" s="40"/>
      <c r="G77" s="41"/>
    </row>
    <row r="78" spans="1:7" x14ac:dyDescent="0.25">
      <c r="A78" s="9">
        <v>73</v>
      </c>
      <c r="B78" s="39"/>
      <c r="C78" s="39"/>
      <c r="D78" s="39"/>
      <c r="E78" s="39"/>
      <c r="F78" s="40"/>
      <c r="G78" s="41"/>
    </row>
    <row r="79" spans="1:7" x14ac:dyDescent="0.25">
      <c r="A79" s="9">
        <v>74</v>
      </c>
      <c r="B79" s="39"/>
      <c r="C79" s="39"/>
      <c r="D79" s="39"/>
      <c r="E79" s="39"/>
      <c r="F79" s="40"/>
      <c r="G79" s="41"/>
    </row>
    <row r="80" spans="1:7" x14ac:dyDescent="0.25">
      <c r="A80" s="9">
        <v>75</v>
      </c>
      <c r="B80" s="39"/>
      <c r="C80" s="39"/>
      <c r="D80" s="39"/>
      <c r="E80" s="39"/>
      <c r="F80" s="40"/>
      <c r="G80" s="41"/>
    </row>
    <row r="81" spans="1:7" x14ac:dyDescent="0.25">
      <c r="A81" s="9">
        <v>76</v>
      </c>
      <c r="B81" s="39"/>
      <c r="C81" s="39"/>
      <c r="D81" s="39"/>
      <c r="E81" s="39"/>
      <c r="F81" s="40"/>
      <c r="G81" s="41"/>
    </row>
    <row r="82" spans="1:7" x14ac:dyDescent="0.25">
      <c r="A82" s="9">
        <v>77</v>
      </c>
      <c r="B82" s="39"/>
      <c r="C82" s="39"/>
      <c r="D82" s="39"/>
      <c r="E82" s="39"/>
      <c r="F82" s="40"/>
      <c r="G82" s="41"/>
    </row>
    <row r="83" spans="1:7" x14ac:dyDescent="0.25">
      <c r="A83" s="9">
        <v>78</v>
      </c>
      <c r="B83" s="39"/>
      <c r="C83" s="39"/>
      <c r="D83" s="39"/>
      <c r="E83" s="39"/>
      <c r="F83" s="40"/>
      <c r="G83" s="41"/>
    </row>
    <row r="84" spans="1:7" x14ac:dyDescent="0.25">
      <c r="A84" s="9">
        <v>79</v>
      </c>
      <c r="B84" s="39"/>
      <c r="C84" s="39"/>
      <c r="D84" s="39"/>
      <c r="E84" s="39"/>
      <c r="F84" s="40"/>
      <c r="G84" s="41"/>
    </row>
    <row r="85" spans="1:7" x14ac:dyDescent="0.25">
      <c r="A85" s="9">
        <v>80</v>
      </c>
      <c r="B85" s="39"/>
      <c r="C85" s="39"/>
      <c r="D85" s="39"/>
      <c r="E85" s="39"/>
      <c r="F85" s="40"/>
      <c r="G85" s="41"/>
    </row>
    <row r="86" spans="1:7" x14ac:dyDescent="0.25">
      <c r="A86" s="9">
        <v>81</v>
      </c>
      <c r="B86" s="39"/>
      <c r="C86" s="39"/>
      <c r="D86" s="39"/>
      <c r="E86" s="39"/>
      <c r="F86" s="40"/>
      <c r="G86" s="41"/>
    </row>
    <row r="87" spans="1:7" x14ac:dyDescent="0.25">
      <c r="A87" s="9">
        <v>82</v>
      </c>
      <c r="B87" s="39"/>
      <c r="C87" s="39"/>
      <c r="D87" s="39"/>
      <c r="E87" s="39"/>
      <c r="F87" s="40"/>
      <c r="G87" s="41"/>
    </row>
    <row r="88" spans="1:7" x14ac:dyDescent="0.25">
      <c r="A88" s="9">
        <v>83</v>
      </c>
      <c r="B88" s="39"/>
      <c r="C88" s="39"/>
      <c r="D88" s="39"/>
      <c r="E88" s="39"/>
      <c r="F88" s="40"/>
      <c r="G88" s="41"/>
    </row>
    <row r="89" spans="1:7" x14ac:dyDescent="0.25">
      <c r="A89" s="9">
        <v>84</v>
      </c>
      <c r="B89" s="39"/>
      <c r="C89" s="39"/>
      <c r="D89" s="39"/>
      <c r="E89" s="39"/>
      <c r="F89" s="40"/>
      <c r="G89" s="41"/>
    </row>
    <row r="90" spans="1:7" x14ac:dyDescent="0.25">
      <c r="A90" s="9">
        <v>85</v>
      </c>
      <c r="B90" s="39"/>
      <c r="C90" s="39"/>
      <c r="D90" s="39"/>
      <c r="E90" s="39"/>
      <c r="F90" s="40"/>
      <c r="G90" s="41"/>
    </row>
    <row r="91" spans="1:7" x14ac:dyDescent="0.25">
      <c r="A91" s="9">
        <v>86</v>
      </c>
      <c r="B91" s="39"/>
      <c r="C91" s="39"/>
      <c r="D91" s="39"/>
      <c r="E91" s="39"/>
      <c r="F91" s="40"/>
      <c r="G91" s="41"/>
    </row>
    <row r="92" spans="1:7" x14ac:dyDescent="0.25">
      <c r="A92" s="9">
        <v>87</v>
      </c>
      <c r="B92" s="39"/>
      <c r="C92" s="39"/>
      <c r="D92" s="39"/>
      <c r="E92" s="39"/>
      <c r="F92" s="40"/>
      <c r="G92" s="41"/>
    </row>
    <row r="93" spans="1:7" x14ac:dyDescent="0.25">
      <c r="A93" s="9">
        <v>88</v>
      </c>
      <c r="B93" s="39"/>
      <c r="C93" s="39"/>
      <c r="D93" s="39"/>
      <c r="E93" s="39"/>
      <c r="F93" s="40"/>
      <c r="G93" s="41"/>
    </row>
    <row r="94" spans="1:7" x14ac:dyDescent="0.25">
      <c r="A94" s="9">
        <v>89</v>
      </c>
      <c r="B94" s="39"/>
      <c r="C94" s="39"/>
      <c r="D94" s="39"/>
      <c r="E94" s="39"/>
      <c r="F94" s="40"/>
      <c r="G94" s="41"/>
    </row>
    <row r="95" spans="1:7" x14ac:dyDescent="0.25">
      <c r="A95" s="9">
        <v>90</v>
      </c>
      <c r="B95" s="39"/>
      <c r="C95" s="39"/>
      <c r="D95" s="39"/>
      <c r="E95" s="39"/>
      <c r="F95" s="40"/>
      <c r="G95" s="41"/>
    </row>
    <row r="96" spans="1:7" x14ac:dyDescent="0.25">
      <c r="A96" s="9">
        <v>91</v>
      </c>
      <c r="B96" s="39"/>
      <c r="C96" s="39"/>
      <c r="D96" s="39"/>
      <c r="E96" s="39"/>
      <c r="F96" s="40"/>
      <c r="G96" s="41"/>
    </row>
    <row r="97" spans="1:7" x14ac:dyDescent="0.25">
      <c r="A97" s="9">
        <v>92</v>
      </c>
      <c r="B97" s="39"/>
      <c r="C97" s="39"/>
      <c r="D97" s="39"/>
      <c r="E97" s="39"/>
      <c r="F97" s="40"/>
      <c r="G97" s="41"/>
    </row>
    <row r="98" spans="1:7" x14ac:dyDescent="0.25">
      <c r="A98" s="9">
        <v>93</v>
      </c>
      <c r="B98" s="39"/>
      <c r="C98" s="39"/>
      <c r="D98" s="39"/>
      <c r="E98" s="39"/>
      <c r="F98" s="40"/>
      <c r="G98" s="41"/>
    </row>
    <row r="99" spans="1:7" x14ac:dyDescent="0.25">
      <c r="A99" s="9">
        <v>94</v>
      </c>
      <c r="B99" s="39"/>
      <c r="C99" s="39"/>
      <c r="D99" s="39"/>
      <c r="E99" s="39"/>
      <c r="F99" s="40"/>
      <c r="G99" s="41"/>
    </row>
    <row r="100" spans="1:7" x14ac:dyDescent="0.25">
      <c r="A100" s="9">
        <v>95</v>
      </c>
      <c r="B100" s="39"/>
      <c r="C100" s="39"/>
      <c r="D100" s="39"/>
      <c r="E100" s="39"/>
      <c r="F100" s="40"/>
      <c r="G100" s="41"/>
    </row>
    <row r="101" spans="1:7" x14ac:dyDescent="0.25">
      <c r="A101" s="9">
        <v>96</v>
      </c>
      <c r="B101" s="39"/>
      <c r="C101" s="39"/>
      <c r="D101" s="39"/>
      <c r="E101" s="39"/>
      <c r="F101" s="40"/>
      <c r="G101" s="41"/>
    </row>
    <row r="102" spans="1:7" x14ac:dyDescent="0.25">
      <c r="A102" s="9">
        <v>97</v>
      </c>
      <c r="B102" s="39"/>
      <c r="C102" s="39"/>
      <c r="D102" s="39"/>
      <c r="E102" s="39"/>
      <c r="F102" s="40"/>
      <c r="G102" s="41"/>
    </row>
    <row r="103" spans="1:7" x14ac:dyDescent="0.25">
      <c r="A103" s="9">
        <v>98</v>
      </c>
      <c r="B103" s="39"/>
      <c r="C103" s="39"/>
      <c r="D103" s="39"/>
      <c r="E103" s="39"/>
      <c r="F103" s="40"/>
      <c r="G103" s="41"/>
    </row>
    <row r="104" spans="1:7" x14ac:dyDescent="0.25">
      <c r="A104" s="9">
        <v>99</v>
      </c>
      <c r="B104" s="39"/>
      <c r="C104" s="39"/>
      <c r="D104" s="39"/>
      <c r="E104" s="39"/>
      <c r="F104" s="40"/>
      <c r="G104" s="41"/>
    </row>
    <row r="105" spans="1:7" x14ac:dyDescent="0.25">
      <c r="A105" s="9">
        <v>100</v>
      </c>
      <c r="B105" s="39"/>
      <c r="C105" s="39"/>
      <c r="D105" s="39"/>
      <c r="E105" s="39"/>
      <c r="F105" s="40"/>
      <c r="G105" s="41"/>
    </row>
    <row r="106" spans="1:7" x14ac:dyDescent="0.25">
      <c r="A106" s="9">
        <v>101</v>
      </c>
      <c r="B106" s="39"/>
      <c r="C106" s="39"/>
      <c r="D106" s="39"/>
      <c r="E106" s="39"/>
      <c r="F106" s="40"/>
      <c r="G106" s="41"/>
    </row>
    <row r="107" spans="1:7" x14ac:dyDescent="0.25">
      <c r="A107" s="9">
        <v>102</v>
      </c>
      <c r="B107" s="39"/>
      <c r="C107" s="39"/>
      <c r="D107" s="39"/>
      <c r="E107" s="39"/>
      <c r="F107" s="40"/>
      <c r="G107" s="41"/>
    </row>
    <row r="108" spans="1:7" x14ac:dyDescent="0.25">
      <c r="A108" s="9">
        <v>103</v>
      </c>
      <c r="B108" s="39"/>
      <c r="C108" s="39"/>
      <c r="D108" s="39"/>
      <c r="E108" s="39"/>
      <c r="F108" s="40"/>
      <c r="G108" s="41"/>
    </row>
    <row r="109" spans="1:7" x14ac:dyDescent="0.25">
      <c r="A109" s="9">
        <v>104</v>
      </c>
      <c r="B109" s="39"/>
      <c r="C109" s="39"/>
      <c r="D109" s="39"/>
      <c r="E109" s="39"/>
      <c r="F109" s="40"/>
      <c r="G109" s="41"/>
    </row>
    <row r="110" spans="1:7" x14ac:dyDescent="0.25">
      <c r="A110" s="9">
        <v>105</v>
      </c>
      <c r="B110" s="39"/>
      <c r="C110" s="39"/>
      <c r="D110" s="39"/>
      <c r="E110" s="39"/>
      <c r="F110" s="40"/>
      <c r="G110" s="41"/>
    </row>
    <row r="111" spans="1:7" x14ac:dyDescent="0.25">
      <c r="A111" s="9">
        <v>106</v>
      </c>
      <c r="B111" s="39"/>
      <c r="C111" s="39"/>
      <c r="D111" s="39"/>
      <c r="E111" s="39"/>
      <c r="F111" s="40"/>
      <c r="G111" s="41"/>
    </row>
    <row r="112" spans="1:7" x14ac:dyDescent="0.25">
      <c r="A112" s="9">
        <v>107</v>
      </c>
      <c r="B112" s="6"/>
      <c r="C112" s="6"/>
      <c r="D112" s="6"/>
      <c r="E112" s="6"/>
      <c r="F112" s="21"/>
      <c r="G112" s="22"/>
    </row>
    <row r="113" spans="1:7" x14ac:dyDescent="0.25">
      <c r="A113" s="9">
        <v>108</v>
      </c>
      <c r="B113" s="6"/>
      <c r="C113" s="6"/>
      <c r="D113" s="6"/>
      <c r="E113" s="6"/>
      <c r="F113" s="21"/>
      <c r="G113" s="22"/>
    </row>
    <row r="114" spans="1:7" x14ac:dyDescent="0.25">
      <c r="A114" s="9">
        <v>109</v>
      </c>
      <c r="B114" s="6"/>
      <c r="C114" s="6"/>
      <c r="D114" s="6"/>
      <c r="E114" s="6"/>
      <c r="F114" s="21"/>
      <c r="G114" s="22"/>
    </row>
    <row r="115" spans="1:7" x14ac:dyDescent="0.25">
      <c r="A115" s="9">
        <v>110</v>
      </c>
      <c r="B115" s="6"/>
      <c r="C115" s="6"/>
      <c r="D115" s="6"/>
      <c r="E115" s="6"/>
      <c r="F115" s="21"/>
      <c r="G115" s="22"/>
    </row>
    <row r="116" spans="1:7" x14ac:dyDescent="0.25">
      <c r="A116" s="9">
        <v>111</v>
      </c>
      <c r="B116" s="6"/>
      <c r="C116" s="6"/>
      <c r="D116" s="6"/>
      <c r="E116" s="6"/>
      <c r="F116" s="21"/>
      <c r="G116" s="22"/>
    </row>
    <row r="117" spans="1:7" x14ac:dyDescent="0.25">
      <c r="A117" s="9">
        <v>112</v>
      </c>
      <c r="B117" s="6"/>
      <c r="C117" s="6"/>
      <c r="D117" s="6"/>
      <c r="E117" s="6"/>
      <c r="F117" s="21"/>
      <c r="G117" s="22"/>
    </row>
    <row r="118" spans="1:7" x14ac:dyDescent="0.25">
      <c r="A118" s="9">
        <v>113</v>
      </c>
      <c r="B118" s="6"/>
      <c r="C118" s="6"/>
      <c r="D118" s="6"/>
      <c r="E118" s="6"/>
      <c r="F118" s="21"/>
      <c r="G118" s="22"/>
    </row>
    <row r="119" spans="1:7" x14ac:dyDescent="0.25">
      <c r="A119" s="9">
        <v>114</v>
      </c>
      <c r="B119" s="6"/>
      <c r="C119" s="6"/>
      <c r="D119" s="6"/>
      <c r="E119" s="6"/>
      <c r="F119" s="21"/>
      <c r="G119" s="22"/>
    </row>
    <row r="120" spans="1:7" x14ac:dyDescent="0.25">
      <c r="A120" s="9">
        <v>115</v>
      </c>
      <c r="B120" s="6"/>
      <c r="C120" s="6"/>
      <c r="D120" s="6"/>
      <c r="E120" s="6"/>
      <c r="F120" s="21"/>
      <c r="G120" s="22"/>
    </row>
    <row r="121" spans="1:7" x14ac:dyDescent="0.25">
      <c r="A121" s="9">
        <v>116</v>
      </c>
      <c r="B121" s="6"/>
      <c r="C121" s="6"/>
      <c r="D121" s="6"/>
      <c r="E121" s="6"/>
      <c r="F121" s="21"/>
      <c r="G121" s="22"/>
    </row>
    <row r="122" spans="1:7" x14ac:dyDescent="0.25">
      <c r="A122" s="9">
        <v>117</v>
      </c>
      <c r="B122" s="6"/>
      <c r="C122" s="6"/>
      <c r="D122" s="6"/>
      <c r="E122" s="6"/>
      <c r="F122" s="21"/>
      <c r="G122" s="22"/>
    </row>
    <row r="123" spans="1:7" x14ac:dyDescent="0.25">
      <c r="A123" s="9">
        <v>118</v>
      </c>
      <c r="B123" s="6"/>
      <c r="C123" s="6"/>
      <c r="D123" s="6"/>
      <c r="E123" s="6"/>
      <c r="F123" s="21"/>
      <c r="G123" s="22"/>
    </row>
    <row r="124" spans="1:7" x14ac:dyDescent="0.25">
      <c r="A124" s="9">
        <v>119</v>
      </c>
      <c r="B124" s="6"/>
      <c r="C124" s="6"/>
      <c r="D124" s="6"/>
      <c r="E124" s="6"/>
      <c r="F124" s="21"/>
      <c r="G124" s="22"/>
    </row>
    <row r="125" spans="1:7" x14ac:dyDescent="0.25">
      <c r="A125" s="9">
        <v>120</v>
      </c>
      <c r="B125" s="6"/>
      <c r="C125" s="6"/>
      <c r="D125" s="6"/>
      <c r="E125" s="6"/>
      <c r="F125" s="21"/>
      <c r="G125" s="22"/>
    </row>
    <row r="126" spans="1:7" x14ac:dyDescent="0.25">
      <c r="A126" s="9">
        <v>121</v>
      </c>
      <c r="B126" s="6"/>
      <c r="C126" s="6"/>
      <c r="D126" s="6"/>
      <c r="E126" s="6"/>
      <c r="F126" s="21"/>
      <c r="G126" s="22"/>
    </row>
    <row r="127" spans="1:7" x14ac:dyDescent="0.25">
      <c r="A127" s="9">
        <v>122</v>
      </c>
      <c r="B127" s="6"/>
      <c r="C127" s="6"/>
      <c r="D127" s="6"/>
      <c r="E127" s="6"/>
      <c r="F127" s="21"/>
      <c r="G127" s="22"/>
    </row>
    <row r="128" spans="1:7" x14ac:dyDescent="0.25">
      <c r="A128" s="9">
        <v>123</v>
      </c>
      <c r="B128" s="6"/>
      <c r="C128" s="6"/>
      <c r="D128" s="6"/>
      <c r="E128" s="6"/>
      <c r="F128" s="21"/>
      <c r="G128" s="22"/>
    </row>
    <row r="129" spans="1:7" x14ac:dyDescent="0.25">
      <c r="A129" s="9">
        <v>124</v>
      </c>
      <c r="B129" s="6"/>
      <c r="C129" s="6"/>
      <c r="D129" s="6"/>
      <c r="E129" s="6"/>
      <c r="F129" s="21"/>
      <c r="G129" s="22"/>
    </row>
    <row r="130" spans="1:7" x14ac:dyDescent="0.25">
      <c r="A130" s="9">
        <v>125</v>
      </c>
      <c r="B130" s="6"/>
      <c r="C130" s="6"/>
      <c r="D130" s="6"/>
      <c r="E130" s="6"/>
      <c r="F130" s="21"/>
      <c r="G130" s="22"/>
    </row>
    <row r="131" spans="1:7" x14ac:dyDescent="0.25">
      <c r="A131" s="9">
        <v>126</v>
      </c>
      <c r="B131" s="6"/>
      <c r="C131" s="6"/>
      <c r="D131" s="6"/>
      <c r="E131" s="6"/>
      <c r="F131" s="21"/>
      <c r="G131" s="22"/>
    </row>
    <row r="132" spans="1:7" x14ac:dyDescent="0.25">
      <c r="A132" s="9">
        <v>127</v>
      </c>
      <c r="B132" s="6"/>
      <c r="C132" s="6"/>
      <c r="D132" s="6"/>
      <c r="E132" s="6"/>
      <c r="F132" s="21"/>
      <c r="G132" s="22"/>
    </row>
    <row r="133" spans="1:7" x14ac:dyDescent="0.25">
      <c r="A133" s="9">
        <v>128</v>
      </c>
      <c r="B133" s="6"/>
      <c r="C133" s="6"/>
      <c r="D133" s="6"/>
      <c r="E133" s="6"/>
      <c r="F133" s="21"/>
      <c r="G133" s="22"/>
    </row>
    <row r="134" spans="1:7" x14ac:dyDescent="0.25">
      <c r="A134" s="9">
        <v>129</v>
      </c>
      <c r="B134" s="6"/>
      <c r="C134" s="6"/>
      <c r="D134" s="6"/>
      <c r="E134" s="6"/>
      <c r="F134" s="21"/>
      <c r="G134" s="22"/>
    </row>
    <row r="135" spans="1:7" x14ac:dyDescent="0.25">
      <c r="A135" s="9">
        <v>130</v>
      </c>
      <c r="B135" s="6"/>
      <c r="C135" s="6"/>
      <c r="D135" s="6"/>
      <c r="E135" s="6"/>
      <c r="F135" s="21"/>
      <c r="G135" s="22"/>
    </row>
    <row r="136" spans="1:7" x14ac:dyDescent="0.25">
      <c r="A136" s="9">
        <v>131</v>
      </c>
      <c r="B136" s="6"/>
      <c r="C136" s="6"/>
      <c r="D136" s="6"/>
      <c r="E136" s="6"/>
      <c r="F136" s="21"/>
      <c r="G136" s="22"/>
    </row>
    <row r="137" spans="1:7" x14ac:dyDescent="0.25">
      <c r="A137" s="9">
        <v>132</v>
      </c>
      <c r="B137" s="6"/>
      <c r="C137" s="6"/>
      <c r="D137" s="6"/>
      <c r="E137" s="6"/>
      <c r="F137" s="21"/>
      <c r="G137" s="22"/>
    </row>
    <row r="138" spans="1:7" x14ac:dyDescent="0.25">
      <c r="A138" s="9">
        <v>133</v>
      </c>
      <c r="B138" s="6"/>
      <c r="C138" s="6"/>
      <c r="D138" s="6"/>
      <c r="E138" s="6"/>
      <c r="F138" s="21"/>
      <c r="G138" s="22"/>
    </row>
    <row r="139" spans="1:7" x14ac:dyDescent="0.25">
      <c r="A139" s="9">
        <v>134</v>
      </c>
      <c r="B139" s="6"/>
      <c r="C139" s="6"/>
      <c r="D139" s="6"/>
      <c r="E139" s="6"/>
      <c r="F139" s="21"/>
      <c r="G139" s="22"/>
    </row>
    <row r="140" spans="1:7" x14ac:dyDescent="0.25">
      <c r="A140" s="9">
        <v>135</v>
      </c>
      <c r="B140" s="6"/>
      <c r="C140" s="6"/>
      <c r="D140" s="6"/>
      <c r="E140" s="6"/>
      <c r="F140" s="21"/>
      <c r="G140" s="22"/>
    </row>
    <row r="141" spans="1:7" x14ac:dyDescent="0.25">
      <c r="A141" s="9">
        <v>136</v>
      </c>
      <c r="B141" s="6"/>
      <c r="C141" s="6"/>
      <c r="D141" s="6"/>
      <c r="E141" s="6"/>
      <c r="F141" s="21"/>
      <c r="G141" s="22"/>
    </row>
    <row r="142" spans="1:7" x14ac:dyDescent="0.25">
      <c r="A142" s="9">
        <v>137</v>
      </c>
      <c r="B142" s="6"/>
      <c r="C142" s="6"/>
      <c r="D142" s="6"/>
      <c r="E142" s="6"/>
      <c r="F142" s="21"/>
      <c r="G142" s="22"/>
    </row>
    <row r="143" spans="1:7" x14ac:dyDescent="0.25">
      <c r="A143" s="9">
        <v>138</v>
      </c>
      <c r="B143" s="6"/>
      <c r="C143" s="6"/>
      <c r="D143" s="6"/>
      <c r="E143" s="6"/>
      <c r="F143" s="21"/>
      <c r="G143" s="22"/>
    </row>
    <row r="144" spans="1:7" x14ac:dyDescent="0.25">
      <c r="A144" s="9">
        <v>139</v>
      </c>
      <c r="B144" s="6"/>
      <c r="C144" s="6"/>
      <c r="D144" s="6"/>
      <c r="E144" s="6"/>
      <c r="F144" s="21"/>
      <c r="G144" s="22"/>
    </row>
    <row r="145" spans="1:7" x14ac:dyDescent="0.25">
      <c r="A145" s="9">
        <v>140</v>
      </c>
      <c r="B145" s="6"/>
      <c r="C145" s="6"/>
      <c r="D145" s="6"/>
      <c r="E145" s="6"/>
      <c r="F145" s="21"/>
      <c r="G145" s="22"/>
    </row>
    <row r="146" spans="1:7" x14ac:dyDescent="0.25">
      <c r="A146" s="9">
        <v>141</v>
      </c>
      <c r="B146" s="6"/>
      <c r="C146" s="6"/>
      <c r="D146" s="6"/>
      <c r="E146" s="6"/>
      <c r="F146" s="21"/>
      <c r="G146" s="22"/>
    </row>
    <row r="147" spans="1:7" x14ac:dyDescent="0.25">
      <c r="A147" s="9">
        <v>142</v>
      </c>
      <c r="B147" s="6"/>
      <c r="C147" s="6"/>
      <c r="D147" s="6"/>
      <c r="E147" s="6"/>
      <c r="F147" s="21"/>
      <c r="G147" s="22"/>
    </row>
    <row r="148" spans="1:7" x14ac:dyDescent="0.25">
      <c r="A148" s="9">
        <v>143</v>
      </c>
      <c r="B148" s="6"/>
      <c r="C148" s="6"/>
      <c r="D148" s="6"/>
      <c r="E148" s="6"/>
      <c r="F148" s="21"/>
      <c r="G148" s="22"/>
    </row>
    <row r="149" spans="1:7" x14ac:dyDescent="0.25">
      <c r="A149" s="9">
        <v>144</v>
      </c>
      <c r="B149" s="6"/>
      <c r="C149" s="6"/>
      <c r="D149" s="6"/>
      <c r="E149" s="6"/>
      <c r="F149" s="21"/>
      <c r="G149" s="22"/>
    </row>
    <row r="150" spans="1:7" x14ac:dyDescent="0.25">
      <c r="A150" s="9">
        <v>145</v>
      </c>
      <c r="B150" s="6"/>
      <c r="C150" s="6"/>
      <c r="D150" s="6"/>
      <c r="E150" s="6"/>
      <c r="F150" s="21"/>
      <c r="G150" s="22"/>
    </row>
    <row r="151" spans="1:7" x14ac:dyDescent="0.25">
      <c r="A151" s="9">
        <v>146</v>
      </c>
      <c r="B151" s="6"/>
      <c r="C151" s="6"/>
      <c r="D151" s="6"/>
      <c r="E151" s="6"/>
      <c r="F151" s="21"/>
      <c r="G151" s="22"/>
    </row>
    <row r="152" spans="1:7" x14ac:dyDescent="0.25">
      <c r="A152" s="9">
        <v>147</v>
      </c>
      <c r="B152" s="6"/>
      <c r="C152" s="6"/>
      <c r="D152" s="6"/>
      <c r="E152" s="6"/>
      <c r="F152" s="21"/>
      <c r="G152" s="22"/>
    </row>
    <row r="153" spans="1:7" x14ac:dyDescent="0.25">
      <c r="A153" s="9">
        <v>148</v>
      </c>
      <c r="B153" s="6"/>
      <c r="C153" s="6"/>
      <c r="D153" s="6"/>
      <c r="E153" s="6"/>
      <c r="F153" s="21"/>
      <c r="G153" s="22"/>
    </row>
    <row r="154" spans="1:7" x14ac:dyDescent="0.25">
      <c r="A154" s="9">
        <v>149</v>
      </c>
      <c r="B154" s="6"/>
      <c r="C154" s="6"/>
      <c r="D154" s="6"/>
      <c r="E154" s="6"/>
      <c r="F154" s="21"/>
      <c r="G154" s="22"/>
    </row>
    <row r="155" spans="1:7" x14ac:dyDescent="0.25">
      <c r="A155" s="9">
        <v>150</v>
      </c>
      <c r="B155" s="6"/>
      <c r="C155" s="6"/>
      <c r="D155" s="6"/>
      <c r="E155" s="6"/>
      <c r="F155" s="21"/>
      <c r="G155" s="22"/>
    </row>
    <row r="156" spans="1:7" x14ac:dyDescent="0.25">
      <c r="A156" s="9">
        <v>151</v>
      </c>
      <c r="B156" s="6"/>
      <c r="C156" s="6"/>
      <c r="D156" s="6"/>
      <c r="E156" s="6"/>
      <c r="F156" s="21"/>
      <c r="G156" s="22"/>
    </row>
    <row r="157" spans="1:7" x14ac:dyDescent="0.25">
      <c r="A157" s="9">
        <v>152</v>
      </c>
      <c r="B157" s="6"/>
      <c r="C157" s="6"/>
      <c r="D157" s="6"/>
      <c r="E157" s="6"/>
      <c r="F157" s="21"/>
      <c r="G157" s="22"/>
    </row>
    <row r="158" spans="1:7" x14ac:dyDescent="0.25">
      <c r="A158" s="9">
        <v>153</v>
      </c>
      <c r="B158" s="6"/>
      <c r="C158" s="6"/>
      <c r="D158" s="6"/>
      <c r="E158" s="6"/>
      <c r="F158" s="21"/>
      <c r="G158" s="22"/>
    </row>
    <row r="159" spans="1:7" x14ac:dyDescent="0.25">
      <c r="A159" s="9">
        <v>154</v>
      </c>
      <c r="B159" s="6"/>
      <c r="C159" s="6"/>
      <c r="D159" s="6"/>
      <c r="E159" s="6"/>
      <c r="F159" s="21"/>
      <c r="G159" s="22"/>
    </row>
    <row r="160" spans="1:7" x14ac:dyDescent="0.25">
      <c r="A160" s="9">
        <v>155</v>
      </c>
      <c r="B160" s="6"/>
      <c r="C160" s="6"/>
      <c r="D160" s="6"/>
      <c r="E160" s="6"/>
      <c r="F160" s="21"/>
      <c r="G160" s="22"/>
    </row>
    <row r="161" spans="1:7" x14ac:dyDescent="0.25">
      <c r="A161" s="9">
        <v>156</v>
      </c>
      <c r="B161" s="6"/>
      <c r="C161" s="6"/>
      <c r="D161" s="6"/>
      <c r="E161" s="6"/>
      <c r="F161" s="21"/>
      <c r="G161" s="22"/>
    </row>
    <row r="162" spans="1:7" x14ac:dyDescent="0.25">
      <c r="A162" s="9">
        <v>157</v>
      </c>
      <c r="B162" s="6"/>
      <c r="C162" s="6"/>
      <c r="D162" s="6"/>
      <c r="E162" s="6"/>
      <c r="F162" s="21"/>
      <c r="G162" s="22"/>
    </row>
    <row r="163" spans="1:7" x14ac:dyDescent="0.25">
      <c r="A163" s="9">
        <v>158</v>
      </c>
      <c r="B163" s="6"/>
      <c r="C163" s="6"/>
      <c r="D163" s="6"/>
      <c r="E163" s="6"/>
      <c r="F163" s="21"/>
      <c r="G163" s="22"/>
    </row>
    <row r="164" spans="1:7" x14ac:dyDescent="0.25">
      <c r="A164" s="9">
        <v>159</v>
      </c>
      <c r="B164" s="6"/>
      <c r="C164" s="6"/>
      <c r="D164" s="6"/>
      <c r="E164" s="6"/>
      <c r="F164" s="21"/>
      <c r="G164" s="22"/>
    </row>
    <row r="165" spans="1:7" x14ac:dyDescent="0.25">
      <c r="A165" s="9">
        <v>160</v>
      </c>
      <c r="B165" s="6"/>
      <c r="C165" s="6"/>
      <c r="D165" s="6"/>
      <c r="E165" s="6"/>
      <c r="F165" s="21"/>
      <c r="G165" s="22"/>
    </row>
    <row r="166" spans="1:7" x14ac:dyDescent="0.25">
      <c r="A166" s="9">
        <v>161</v>
      </c>
      <c r="B166" s="6"/>
      <c r="C166" s="6"/>
      <c r="D166" s="6"/>
      <c r="E166" s="6"/>
      <c r="F166" s="21"/>
      <c r="G166" s="22"/>
    </row>
    <row r="167" spans="1:7" x14ac:dyDescent="0.25">
      <c r="A167" s="9">
        <v>162</v>
      </c>
      <c r="B167" s="6"/>
      <c r="C167" s="6"/>
      <c r="D167" s="6"/>
      <c r="E167" s="6"/>
      <c r="F167" s="21"/>
      <c r="G167" s="22"/>
    </row>
    <row r="168" spans="1:7" x14ac:dyDescent="0.25">
      <c r="A168" s="9">
        <v>163</v>
      </c>
      <c r="B168" s="6"/>
      <c r="C168" s="6"/>
      <c r="D168" s="6"/>
      <c r="E168" s="6"/>
      <c r="F168" s="21"/>
      <c r="G168" s="22"/>
    </row>
    <row r="169" spans="1:7" x14ac:dyDescent="0.25">
      <c r="A169" s="9">
        <v>164</v>
      </c>
      <c r="B169" s="6"/>
      <c r="C169" s="6"/>
      <c r="D169" s="6"/>
      <c r="E169" s="6"/>
      <c r="F169" s="21"/>
      <c r="G169" s="22"/>
    </row>
    <row r="170" spans="1:7" x14ac:dyDescent="0.25">
      <c r="A170" s="9">
        <v>165</v>
      </c>
      <c r="B170" s="6"/>
      <c r="C170" s="6"/>
      <c r="D170" s="6"/>
      <c r="E170" s="6"/>
      <c r="F170" s="21"/>
      <c r="G170" s="22"/>
    </row>
    <row r="171" spans="1:7" x14ac:dyDescent="0.25">
      <c r="A171" s="9">
        <v>166</v>
      </c>
      <c r="B171" s="6"/>
      <c r="C171" s="6"/>
      <c r="D171" s="6"/>
      <c r="E171" s="6"/>
      <c r="F171" s="21"/>
      <c r="G171" s="22"/>
    </row>
    <row r="172" spans="1:7" x14ac:dyDescent="0.25">
      <c r="A172" s="9">
        <v>167</v>
      </c>
      <c r="B172" s="6"/>
      <c r="C172" s="6"/>
      <c r="D172" s="6"/>
      <c r="E172" s="6"/>
      <c r="F172" s="21"/>
      <c r="G172" s="22"/>
    </row>
    <row r="173" spans="1:7" x14ac:dyDescent="0.25">
      <c r="A173" s="9">
        <v>168</v>
      </c>
      <c r="B173" s="6"/>
      <c r="C173" s="6"/>
      <c r="D173" s="6"/>
      <c r="E173" s="6"/>
      <c r="F173" s="21"/>
      <c r="G173" s="22"/>
    </row>
    <row r="174" spans="1:7" x14ac:dyDescent="0.25">
      <c r="A174" s="9">
        <v>169</v>
      </c>
      <c r="B174" s="6"/>
      <c r="C174" s="6"/>
      <c r="D174" s="6"/>
      <c r="E174" s="6"/>
      <c r="F174" s="21"/>
      <c r="G174" s="22"/>
    </row>
    <row r="175" spans="1:7" x14ac:dyDescent="0.25">
      <c r="A175" s="9">
        <v>170</v>
      </c>
      <c r="B175" s="6"/>
      <c r="C175" s="6"/>
      <c r="D175" s="6"/>
      <c r="E175" s="6"/>
      <c r="F175" s="21"/>
      <c r="G175" s="22"/>
    </row>
    <row r="176" spans="1:7" x14ac:dyDescent="0.25">
      <c r="A176" s="9">
        <v>171</v>
      </c>
      <c r="B176" s="6"/>
      <c r="C176" s="6"/>
      <c r="D176" s="6"/>
      <c r="E176" s="6"/>
      <c r="F176" s="21"/>
      <c r="G176" s="22"/>
    </row>
    <row r="177" spans="1:7" x14ac:dyDescent="0.25">
      <c r="A177" s="9">
        <v>172</v>
      </c>
      <c r="B177" s="6"/>
      <c r="C177" s="6"/>
      <c r="D177" s="6"/>
      <c r="E177" s="6"/>
      <c r="F177" s="21"/>
      <c r="G177" s="22"/>
    </row>
    <row r="178" spans="1:7" x14ac:dyDescent="0.25">
      <c r="A178" s="9">
        <v>173</v>
      </c>
      <c r="B178" s="6"/>
      <c r="C178" s="6"/>
      <c r="D178" s="6"/>
      <c r="E178" s="6"/>
      <c r="F178" s="21"/>
      <c r="G178" s="22"/>
    </row>
    <row r="179" spans="1:7" x14ac:dyDescent="0.25">
      <c r="A179" s="9">
        <v>174</v>
      </c>
      <c r="B179" s="6"/>
      <c r="C179" s="6"/>
      <c r="D179" s="6"/>
      <c r="E179" s="6"/>
      <c r="F179" s="21"/>
      <c r="G179" s="22"/>
    </row>
    <row r="180" spans="1:7" x14ac:dyDescent="0.25">
      <c r="A180" s="9">
        <v>175</v>
      </c>
      <c r="B180" s="6"/>
      <c r="C180" s="6"/>
      <c r="D180" s="6"/>
      <c r="E180" s="6"/>
      <c r="F180" s="21"/>
      <c r="G180" s="22"/>
    </row>
    <row r="181" spans="1:7" x14ac:dyDescent="0.25">
      <c r="A181" s="9">
        <v>176</v>
      </c>
      <c r="B181" s="6"/>
      <c r="C181" s="6"/>
      <c r="D181" s="6"/>
      <c r="E181" s="6"/>
      <c r="F181" s="21"/>
      <c r="G181" s="22"/>
    </row>
    <row r="182" spans="1:7" x14ac:dyDescent="0.25">
      <c r="A182" s="9">
        <v>177</v>
      </c>
      <c r="B182" s="6"/>
      <c r="C182" s="6"/>
      <c r="D182" s="6"/>
      <c r="E182" s="6"/>
      <c r="F182" s="21"/>
      <c r="G182" s="22"/>
    </row>
    <row r="183" spans="1:7" x14ac:dyDescent="0.25">
      <c r="A183" s="9">
        <v>178</v>
      </c>
      <c r="B183" s="6"/>
      <c r="C183" s="6"/>
      <c r="D183" s="6"/>
      <c r="E183" s="6"/>
      <c r="F183" s="21"/>
      <c r="G183" s="22"/>
    </row>
    <row r="184" spans="1:7" x14ac:dyDescent="0.25">
      <c r="A184" s="9">
        <v>179</v>
      </c>
      <c r="B184" s="6"/>
      <c r="C184" s="6"/>
      <c r="D184" s="6"/>
      <c r="E184" s="6"/>
      <c r="F184" s="21"/>
      <c r="G184" s="22"/>
    </row>
    <row r="185" spans="1:7" x14ac:dyDescent="0.25">
      <c r="A185" s="9">
        <v>180</v>
      </c>
      <c r="B185" s="6"/>
      <c r="C185" s="6"/>
      <c r="D185" s="6"/>
      <c r="E185" s="6"/>
      <c r="F185" s="21"/>
      <c r="G185" s="22"/>
    </row>
    <row r="186" spans="1:7" x14ac:dyDescent="0.25">
      <c r="A186" s="9">
        <v>181</v>
      </c>
      <c r="B186" s="6"/>
      <c r="C186" s="6"/>
      <c r="D186" s="6"/>
      <c r="E186" s="6"/>
      <c r="F186" s="21"/>
      <c r="G186" s="22"/>
    </row>
    <row r="187" spans="1:7" x14ac:dyDescent="0.25">
      <c r="A187" s="9">
        <v>182</v>
      </c>
      <c r="B187" s="6"/>
      <c r="C187" s="6"/>
      <c r="D187" s="6"/>
      <c r="E187" s="6"/>
      <c r="F187" s="21"/>
      <c r="G187" s="22"/>
    </row>
    <row r="188" spans="1:7" x14ac:dyDescent="0.25">
      <c r="A188" s="9">
        <v>183</v>
      </c>
      <c r="B188" s="6"/>
      <c r="C188" s="6"/>
      <c r="D188" s="6"/>
      <c r="E188" s="6"/>
      <c r="F188" s="21"/>
      <c r="G188" s="22"/>
    </row>
    <row r="189" spans="1:7" x14ac:dyDescent="0.25">
      <c r="A189" s="9">
        <v>184</v>
      </c>
      <c r="B189" s="6"/>
      <c r="C189" s="6"/>
      <c r="D189" s="6"/>
      <c r="E189" s="6"/>
      <c r="F189" s="21"/>
      <c r="G189" s="22"/>
    </row>
    <row r="190" spans="1:7" x14ac:dyDescent="0.25">
      <c r="A190" s="9">
        <v>185</v>
      </c>
      <c r="B190" s="6"/>
      <c r="C190" s="6"/>
      <c r="D190" s="6"/>
      <c r="E190" s="6"/>
      <c r="F190" s="21"/>
      <c r="G190" s="22"/>
    </row>
    <row r="191" spans="1:7" x14ac:dyDescent="0.25">
      <c r="A191" s="9">
        <v>186</v>
      </c>
      <c r="B191" s="6"/>
      <c r="C191" s="6"/>
      <c r="D191" s="6"/>
      <c r="E191" s="6"/>
      <c r="F191" s="21"/>
      <c r="G191" s="22"/>
    </row>
    <row r="192" spans="1:7" x14ac:dyDescent="0.25">
      <c r="A192" s="9">
        <v>187</v>
      </c>
      <c r="B192" s="6"/>
      <c r="C192" s="6"/>
      <c r="D192" s="6"/>
      <c r="E192" s="6"/>
      <c r="F192" s="21"/>
      <c r="G192" s="22"/>
    </row>
    <row r="193" spans="1:7" x14ac:dyDescent="0.25">
      <c r="A193" s="9">
        <v>188</v>
      </c>
      <c r="B193" s="6"/>
      <c r="C193" s="6"/>
      <c r="D193" s="6"/>
      <c r="E193" s="6"/>
      <c r="F193" s="21"/>
      <c r="G193" s="22"/>
    </row>
    <row r="194" spans="1:7" x14ac:dyDescent="0.25">
      <c r="A194" s="9">
        <v>189</v>
      </c>
      <c r="B194" s="6"/>
      <c r="C194" s="6"/>
      <c r="D194" s="6"/>
      <c r="E194" s="6"/>
      <c r="F194" s="21"/>
      <c r="G194" s="22"/>
    </row>
    <row r="195" spans="1:7" x14ac:dyDescent="0.25">
      <c r="A195" s="9">
        <v>190</v>
      </c>
      <c r="B195" s="6"/>
      <c r="C195" s="6"/>
      <c r="D195" s="6"/>
      <c r="E195" s="6"/>
      <c r="F195" s="21"/>
      <c r="G195" s="22"/>
    </row>
    <row r="196" spans="1:7" x14ac:dyDescent="0.25">
      <c r="A196" s="9">
        <v>191</v>
      </c>
      <c r="B196" s="6"/>
      <c r="C196" s="6"/>
      <c r="D196" s="6"/>
      <c r="E196" s="6"/>
      <c r="F196" s="21"/>
      <c r="G196" s="22"/>
    </row>
    <row r="197" spans="1:7" x14ac:dyDescent="0.25">
      <c r="A197" s="9">
        <v>192</v>
      </c>
      <c r="B197" s="6"/>
      <c r="C197" s="6"/>
      <c r="D197" s="6"/>
      <c r="E197" s="6"/>
      <c r="F197" s="21"/>
      <c r="G197" s="22"/>
    </row>
    <row r="198" spans="1:7" x14ac:dyDescent="0.25">
      <c r="A198" s="9">
        <v>193</v>
      </c>
      <c r="B198" s="6"/>
      <c r="C198" s="6"/>
      <c r="D198" s="6"/>
      <c r="E198" s="6"/>
      <c r="F198" s="21"/>
      <c r="G198" s="22"/>
    </row>
    <row r="199" spans="1:7" x14ac:dyDescent="0.25">
      <c r="A199" s="9">
        <v>194</v>
      </c>
      <c r="B199" s="6"/>
      <c r="C199" s="6"/>
      <c r="D199" s="6"/>
      <c r="E199" s="6"/>
      <c r="F199" s="21"/>
      <c r="G199" s="22"/>
    </row>
    <row r="200" spans="1:7" x14ac:dyDescent="0.25">
      <c r="A200" s="9">
        <v>195</v>
      </c>
      <c r="B200" s="6"/>
      <c r="C200" s="6"/>
      <c r="D200" s="6"/>
      <c r="E200" s="6"/>
      <c r="F200" s="21"/>
      <c r="G200" s="22"/>
    </row>
    <row r="201" spans="1:7" x14ac:dyDescent="0.25">
      <c r="A201" s="9">
        <v>196</v>
      </c>
      <c r="B201" s="6"/>
      <c r="C201" s="6"/>
      <c r="D201" s="6"/>
      <c r="E201" s="6"/>
      <c r="F201" s="21"/>
      <c r="G201" s="22"/>
    </row>
    <row r="202" spans="1:7" x14ac:dyDescent="0.25">
      <c r="A202" s="9">
        <v>197</v>
      </c>
      <c r="B202" s="6"/>
      <c r="C202" s="6"/>
      <c r="D202" s="6"/>
      <c r="E202" s="6"/>
      <c r="F202" s="21"/>
      <c r="G202" s="22"/>
    </row>
    <row r="203" spans="1:7" x14ac:dyDescent="0.25">
      <c r="A203" s="9">
        <v>198</v>
      </c>
      <c r="B203" s="6"/>
      <c r="C203" s="6"/>
      <c r="D203" s="6"/>
      <c r="E203" s="6"/>
      <c r="F203" s="21"/>
      <c r="G203" s="22"/>
    </row>
    <row r="204" spans="1:7" x14ac:dyDescent="0.25">
      <c r="A204" s="9">
        <v>199</v>
      </c>
      <c r="B204" s="6"/>
      <c r="C204" s="6"/>
      <c r="D204" s="6"/>
      <c r="E204" s="6"/>
      <c r="F204" s="21"/>
      <c r="G204" s="22"/>
    </row>
    <row r="205" spans="1:7" x14ac:dyDescent="0.25">
      <c r="A205" s="9">
        <v>200</v>
      </c>
      <c r="B205" s="6"/>
      <c r="C205" s="6"/>
      <c r="D205" s="6"/>
      <c r="E205" s="6"/>
      <c r="F205" s="21"/>
      <c r="G205" s="22"/>
    </row>
    <row r="206" spans="1:7" x14ac:dyDescent="0.25">
      <c r="A206" s="9">
        <v>201</v>
      </c>
      <c r="B206" s="6"/>
      <c r="C206" s="6"/>
      <c r="D206" s="6"/>
      <c r="E206" s="6"/>
      <c r="F206" s="21"/>
      <c r="G206" s="22"/>
    </row>
    <row r="207" spans="1:7" x14ac:dyDescent="0.25">
      <c r="A207" s="9">
        <v>202</v>
      </c>
      <c r="B207" s="6"/>
      <c r="C207" s="6"/>
      <c r="D207" s="6"/>
      <c r="E207" s="6"/>
      <c r="F207" s="21"/>
      <c r="G207" s="22"/>
    </row>
    <row r="208" spans="1:7" x14ac:dyDescent="0.25">
      <c r="A208" s="9">
        <v>203</v>
      </c>
      <c r="B208" s="6"/>
      <c r="C208" s="6"/>
      <c r="D208" s="6"/>
      <c r="E208" s="6"/>
      <c r="F208" s="21"/>
      <c r="G208" s="22"/>
    </row>
    <row r="209" spans="1:7" x14ac:dyDescent="0.25">
      <c r="A209" s="9">
        <v>204</v>
      </c>
      <c r="B209" s="6"/>
      <c r="C209" s="6"/>
      <c r="D209" s="6"/>
      <c r="E209" s="6"/>
      <c r="F209" s="21"/>
      <c r="G209" s="22"/>
    </row>
    <row r="210" spans="1:7" x14ac:dyDescent="0.25">
      <c r="A210" s="9">
        <v>205</v>
      </c>
      <c r="B210" s="6"/>
      <c r="C210" s="6"/>
      <c r="D210" s="6"/>
      <c r="E210" s="6"/>
      <c r="F210" s="21"/>
      <c r="G210" s="22"/>
    </row>
    <row r="211" spans="1:7" x14ac:dyDescent="0.25">
      <c r="A211" s="9">
        <v>206</v>
      </c>
      <c r="B211" s="6"/>
      <c r="C211" s="6"/>
      <c r="D211" s="6"/>
      <c r="E211" s="6"/>
      <c r="F211" s="21"/>
      <c r="G211" s="22"/>
    </row>
    <row r="212" spans="1:7" x14ac:dyDescent="0.25">
      <c r="A212" s="9">
        <v>207</v>
      </c>
      <c r="B212" s="6"/>
      <c r="C212" s="6"/>
      <c r="D212" s="6"/>
      <c r="E212" s="6"/>
      <c r="F212" s="21"/>
      <c r="G212" s="22"/>
    </row>
    <row r="213" spans="1:7" x14ac:dyDescent="0.25">
      <c r="A213" s="9">
        <v>208</v>
      </c>
      <c r="B213" s="6"/>
      <c r="C213" s="6"/>
      <c r="D213" s="6"/>
      <c r="E213" s="6"/>
      <c r="F213" s="21"/>
      <c r="G213" s="22"/>
    </row>
    <row r="214" spans="1:7" x14ac:dyDescent="0.25">
      <c r="A214" s="9">
        <v>209</v>
      </c>
      <c r="B214" s="6"/>
      <c r="C214" s="6"/>
      <c r="D214" s="6"/>
      <c r="E214" s="6"/>
      <c r="F214" s="21"/>
      <c r="G214" s="22"/>
    </row>
    <row r="215" spans="1:7" x14ac:dyDescent="0.25">
      <c r="A215" s="9">
        <v>210</v>
      </c>
      <c r="B215" s="6"/>
      <c r="C215" s="6"/>
      <c r="D215" s="6"/>
      <c r="E215" s="6"/>
      <c r="F215" s="21"/>
      <c r="G215" s="22"/>
    </row>
    <row r="216" spans="1:7" x14ac:dyDescent="0.25">
      <c r="A216" s="9">
        <v>211</v>
      </c>
      <c r="B216" s="6"/>
      <c r="C216" s="6"/>
      <c r="D216" s="6"/>
      <c r="E216" s="6"/>
      <c r="F216" s="21"/>
      <c r="G216" s="22"/>
    </row>
    <row r="217" spans="1:7" x14ac:dyDescent="0.25">
      <c r="A217" s="9">
        <v>212</v>
      </c>
      <c r="B217" s="6"/>
      <c r="C217" s="6"/>
      <c r="D217" s="6"/>
      <c r="E217" s="6"/>
      <c r="F217" s="21"/>
      <c r="G217" s="22"/>
    </row>
    <row r="218" spans="1:7" x14ac:dyDescent="0.25">
      <c r="A218" s="9">
        <v>213</v>
      </c>
      <c r="B218" s="6"/>
      <c r="C218" s="6"/>
      <c r="D218" s="6"/>
      <c r="E218" s="6"/>
      <c r="F218" s="21"/>
      <c r="G218" s="22"/>
    </row>
    <row r="219" spans="1:7" x14ac:dyDescent="0.25">
      <c r="A219" s="9">
        <v>214</v>
      </c>
      <c r="B219" s="6"/>
      <c r="C219" s="6"/>
      <c r="D219" s="6"/>
      <c r="E219" s="6"/>
      <c r="F219" s="21"/>
      <c r="G219" s="22"/>
    </row>
    <row r="220" spans="1:7" x14ac:dyDescent="0.25">
      <c r="A220" s="9">
        <v>215</v>
      </c>
      <c r="B220" s="6"/>
      <c r="C220" s="6"/>
      <c r="D220" s="6"/>
      <c r="E220" s="6"/>
      <c r="F220" s="21"/>
      <c r="G220" s="22"/>
    </row>
    <row r="221" spans="1:7" x14ac:dyDescent="0.25">
      <c r="A221" s="9">
        <v>216</v>
      </c>
      <c r="B221" s="6"/>
      <c r="C221" s="6"/>
      <c r="D221" s="6"/>
      <c r="E221" s="6"/>
      <c r="F221" s="21"/>
      <c r="G221" s="22"/>
    </row>
    <row r="222" spans="1:7" x14ac:dyDescent="0.25">
      <c r="A222" s="9">
        <v>217</v>
      </c>
      <c r="B222" s="6"/>
      <c r="C222" s="6"/>
      <c r="D222" s="6"/>
      <c r="E222" s="6"/>
      <c r="F222" s="21"/>
      <c r="G222" s="22"/>
    </row>
    <row r="223" spans="1:7" x14ac:dyDescent="0.25">
      <c r="A223" s="9">
        <v>218</v>
      </c>
      <c r="B223" s="6"/>
      <c r="C223" s="6"/>
      <c r="D223" s="6"/>
      <c r="E223" s="6"/>
      <c r="F223" s="21"/>
      <c r="G223" s="22"/>
    </row>
    <row r="224" spans="1:7" x14ac:dyDescent="0.25">
      <c r="A224" s="9">
        <v>219</v>
      </c>
      <c r="B224" s="6"/>
      <c r="C224" s="6"/>
      <c r="D224" s="6"/>
      <c r="E224" s="6"/>
      <c r="F224" s="21"/>
      <c r="G224" s="22"/>
    </row>
    <row r="225" spans="1:7" x14ac:dyDescent="0.25">
      <c r="A225" s="9">
        <v>220</v>
      </c>
      <c r="B225" s="6"/>
      <c r="C225" s="6"/>
      <c r="D225" s="6"/>
      <c r="E225" s="6"/>
      <c r="F225" s="21"/>
      <c r="G225" s="22"/>
    </row>
    <row r="226" spans="1:7" x14ac:dyDescent="0.25">
      <c r="A226" s="9">
        <v>221</v>
      </c>
      <c r="B226" s="6"/>
      <c r="C226" s="6"/>
      <c r="D226" s="6"/>
      <c r="E226" s="6"/>
      <c r="F226" s="21"/>
      <c r="G226" s="22"/>
    </row>
    <row r="227" spans="1:7" x14ac:dyDescent="0.25">
      <c r="A227" s="9">
        <v>222</v>
      </c>
      <c r="B227" s="6"/>
      <c r="C227" s="6"/>
      <c r="D227" s="6"/>
      <c r="E227" s="6"/>
      <c r="F227" s="21"/>
      <c r="G227" s="22"/>
    </row>
    <row r="228" spans="1:7" x14ac:dyDescent="0.25">
      <c r="A228" s="9">
        <v>223</v>
      </c>
      <c r="B228" s="6"/>
      <c r="C228" s="6"/>
      <c r="D228" s="6"/>
      <c r="E228" s="6"/>
      <c r="F228" s="21"/>
      <c r="G228" s="22"/>
    </row>
    <row r="229" spans="1:7" x14ac:dyDescent="0.25">
      <c r="A229" s="9">
        <v>224</v>
      </c>
      <c r="B229" s="6"/>
      <c r="C229" s="6"/>
      <c r="D229" s="6"/>
      <c r="E229" s="6"/>
      <c r="F229" s="21"/>
      <c r="G229" s="22"/>
    </row>
    <row r="230" spans="1:7" x14ac:dyDescent="0.25">
      <c r="A230" s="9">
        <v>225</v>
      </c>
      <c r="B230" s="6"/>
      <c r="C230" s="6"/>
      <c r="D230" s="6"/>
      <c r="E230" s="6"/>
      <c r="F230" s="21"/>
      <c r="G230" s="22"/>
    </row>
    <row r="231" spans="1:7" x14ac:dyDescent="0.25">
      <c r="A231" s="9">
        <v>226</v>
      </c>
      <c r="B231" s="6"/>
      <c r="C231" s="6"/>
      <c r="D231" s="6"/>
      <c r="E231" s="6"/>
      <c r="F231" s="21"/>
      <c r="G231" s="22"/>
    </row>
    <row r="232" spans="1:7" x14ac:dyDescent="0.25">
      <c r="A232" s="9">
        <v>227</v>
      </c>
      <c r="B232" s="6"/>
      <c r="C232" s="6"/>
      <c r="D232" s="6"/>
      <c r="E232" s="6"/>
      <c r="F232" s="21"/>
      <c r="G232" s="22"/>
    </row>
    <row r="233" spans="1:7" x14ac:dyDescent="0.25">
      <c r="A233" s="9">
        <v>228</v>
      </c>
      <c r="B233" s="6"/>
      <c r="C233" s="6"/>
      <c r="D233" s="6"/>
      <c r="E233" s="6"/>
      <c r="F233" s="21"/>
      <c r="G233" s="22"/>
    </row>
    <row r="234" spans="1:7" x14ac:dyDescent="0.25">
      <c r="A234" s="9">
        <v>229</v>
      </c>
      <c r="B234" s="6"/>
      <c r="C234" s="6"/>
      <c r="D234" s="6"/>
      <c r="E234" s="6"/>
      <c r="F234" s="21"/>
      <c r="G234" s="22"/>
    </row>
    <row r="235" spans="1:7" x14ac:dyDescent="0.25">
      <c r="A235" s="9">
        <v>230</v>
      </c>
      <c r="B235" s="6"/>
      <c r="C235" s="6"/>
      <c r="D235" s="6"/>
      <c r="E235" s="6"/>
      <c r="F235" s="21"/>
      <c r="G235" s="22"/>
    </row>
    <row r="236" spans="1:7" x14ac:dyDescent="0.25">
      <c r="A236" s="9">
        <v>231</v>
      </c>
      <c r="B236" s="6"/>
      <c r="C236" s="6"/>
      <c r="D236" s="6"/>
      <c r="E236" s="6"/>
      <c r="F236" s="21"/>
      <c r="G236" s="22"/>
    </row>
    <row r="237" spans="1:7" x14ac:dyDescent="0.25">
      <c r="A237" s="9">
        <v>232</v>
      </c>
      <c r="B237" s="6"/>
      <c r="C237" s="6"/>
      <c r="D237" s="6"/>
      <c r="E237" s="6"/>
      <c r="F237" s="21"/>
      <c r="G237" s="22"/>
    </row>
    <row r="238" spans="1:7" x14ac:dyDescent="0.25">
      <c r="A238" s="9">
        <v>233</v>
      </c>
      <c r="B238" s="6"/>
      <c r="C238" s="6"/>
      <c r="D238" s="6"/>
      <c r="E238" s="6"/>
      <c r="F238" s="21"/>
      <c r="G238" s="22"/>
    </row>
    <row r="239" spans="1:7" x14ac:dyDescent="0.25">
      <c r="A239" s="9">
        <v>234</v>
      </c>
      <c r="B239" s="6"/>
      <c r="C239" s="6"/>
      <c r="D239" s="6"/>
      <c r="E239" s="6"/>
      <c r="F239" s="21"/>
      <c r="G239" s="22"/>
    </row>
    <row r="240" spans="1:7" x14ac:dyDescent="0.25">
      <c r="A240" s="9">
        <v>235</v>
      </c>
      <c r="B240" s="6"/>
      <c r="C240" s="6"/>
      <c r="D240" s="6"/>
      <c r="E240" s="6"/>
      <c r="F240" s="21"/>
      <c r="G240" s="22"/>
    </row>
    <row r="241" spans="1:7" x14ac:dyDescent="0.25">
      <c r="A241" s="9">
        <v>236</v>
      </c>
      <c r="B241" s="6"/>
      <c r="C241" s="6"/>
      <c r="D241" s="6"/>
      <c r="E241" s="6"/>
      <c r="F241" s="21"/>
      <c r="G241" s="22"/>
    </row>
    <row r="242" spans="1:7" x14ac:dyDescent="0.25">
      <c r="A242" s="9">
        <v>237</v>
      </c>
      <c r="B242" s="6"/>
      <c r="C242" s="6"/>
      <c r="D242" s="6"/>
      <c r="E242" s="6"/>
      <c r="F242" s="21"/>
      <c r="G242" s="22"/>
    </row>
    <row r="243" spans="1:7" x14ac:dyDescent="0.25">
      <c r="A243" s="9">
        <v>238</v>
      </c>
      <c r="B243" s="6"/>
      <c r="C243" s="6"/>
      <c r="D243" s="6"/>
      <c r="E243" s="6"/>
      <c r="F243" s="21"/>
      <c r="G243" s="22"/>
    </row>
    <row r="244" spans="1:7" x14ac:dyDescent="0.25">
      <c r="A244" s="9">
        <v>239</v>
      </c>
      <c r="B244" s="6"/>
      <c r="C244" s="6"/>
      <c r="D244" s="6"/>
      <c r="E244" s="6"/>
      <c r="F244" s="21"/>
      <c r="G244" s="22"/>
    </row>
    <row r="245" spans="1:7" x14ac:dyDescent="0.25">
      <c r="A245" s="9">
        <v>240</v>
      </c>
      <c r="B245" s="6"/>
      <c r="C245" s="6"/>
      <c r="D245" s="6"/>
      <c r="E245" s="6"/>
      <c r="F245" s="21"/>
      <c r="G245" s="22"/>
    </row>
    <row r="246" spans="1:7" x14ac:dyDescent="0.25">
      <c r="A246" s="9">
        <v>241</v>
      </c>
      <c r="B246" s="6"/>
      <c r="C246" s="6"/>
      <c r="D246" s="6"/>
      <c r="E246" s="6"/>
      <c r="F246" s="21"/>
      <c r="G246" s="22"/>
    </row>
    <row r="247" spans="1:7" x14ac:dyDescent="0.25">
      <c r="A247" s="9">
        <v>242</v>
      </c>
      <c r="B247" s="6"/>
      <c r="C247" s="6"/>
      <c r="D247" s="6"/>
      <c r="E247" s="6"/>
      <c r="F247" s="21"/>
      <c r="G247" s="22"/>
    </row>
    <row r="248" spans="1:7" x14ac:dyDescent="0.25">
      <c r="A248" s="9">
        <v>243</v>
      </c>
      <c r="B248" s="6"/>
      <c r="C248" s="6"/>
      <c r="D248" s="6"/>
      <c r="E248" s="6"/>
      <c r="F248" s="21"/>
      <c r="G248" s="22"/>
    </row>
    <row r="249" spans="1:7" x14ac:dyDescent="0.25">
      <c r="A249" s="9">
        <v>244</v>
      </c>
      <c r="B249" s="6"/>
      <c r="C249" s="6"/>
      <c r="D249" s="6"/>
      <c r="E249" s="6"/>
      <c r="F249" s="21"/>
      <c r="G249" s="22"/>
    </row>
    <row r="250" spans="1:7" x14ac:dyDescent="0.25">
      <c r="A250" s="9">
        <v>245</v>
      </c>
      <c r="B250" s="6"/>
      <c r="C250" s="6"/>
      <c r="D250" s="6"/>
      <c r="E250" s="6"/>
      <c r="F250" s="21"/>
      <c r="G250" s="22"/>
    </row>
    <row r="251" spans="1:7" x14ac:dyDescent="0.25">
      <c r="A251" s="9">
        <v>246</v>
      </c>
      <c r="B251" s="6"/>
      <c r="C251" s="6"/>
      <c r="D251" s="6"/>
      <c r="E251" s="6"/>
      <c r="F251" s="21"/>
      <c r="G251" s="22"/>
    </row>
    <row r="252" spans="1:7" x14ac:dyDescent="0.25">
      <c r="A252" s="9">
        <v>247</v>
      </c>
      <c r="B252" s="6"/>
      <c r="C252" s="6"/>
      <c r="D252" s="6"/>
      <c r="E252" s="6"/>
      <c r="F252" s="21"/>
      <c r="G252" s="22"/>
    </row>
    <row r="253" spans="1:7" x14ac:dyDescent="0.25">
      <c r="A253" s="9">
        <v>248</v>
      </c>
      <c r="B253" s="6"/>
      <c r="C253" s="6"/>
      <c r="D253" s="6"/>
      <c r="E253" s="6"/>
      <c r="F253" s="21"/>
      <c r="G253" s="22"/>
    </row>
    <row r="254" spans="1:7" x14ac:dyDescent="0.25">
      <c r="A254" s="9">
        <v>249</v>
      </c>
      <c r="B254" s="6"/>
      <c r="C254" s="6"/>
      <c r="D254" s="6"/>
      <c r="E254" s="6"/>
      <c r="F254" s="21"/>
      <c r="G254" s="22"/>
    </row>
    <row r="255" spans="1:7" x14ac:dyDescent="0.25">
      <c r="A255" s="9">
        <v>250</v>
      </c>
      <c r="B255" s="6"/>
      <c r="C255" s="6"/>
      <c r="D255" s="6"/>
      <c r="E255" s="6"/>
      <c r="F255" s="21"/>
      <c r="G255" s="22"/>
    </row>
    <row r="256" spans="1:7" x14ac:dyDescent="0.25">
      <c r="A256" s="9">
        <v>251</v>
      </c>
      <c r="B256" s="6"/>
      <c r="C256" s="6"/>
      <c r="D256" s="6"/>
      <c r="E256" s="6"/>
      <c r="F256" s="21"/>
      <c r="G256" s="22"/>
    </row>
    <row r="257" spans="1:7" x14ac:dyDescent="0.25">
      <c r="A257" s="9">
        <v>252</v>
      </c>
      <c r="B257" s="6"/>
      <c r="C257" s="6"/>
      <c r="D257" s="6"/>
      <c r="E257" s="6"/>
      <c r="F257" s="21"/>
      <c r="G257" s="22"/>
    </row>
    <row r="258" spans="1:7" x14ac:dyDescent="0.25">
      <c r="A258" s="9">
        <v>253</v>
      </c>
      <c r="B258" s="6"/>
      <c r="C258" s="6"/>
      <c r="D258" s="6"/>
      <c r="E258" s="6"/>
      <c r="F258" s="21"/>
      <c r="G258" s="22"/>
    </row>
    <row r="259" spans="1:7" x14ac:dyDescent="0.25">
      <c r="A259" s="9">
        <v>254</v>
      </c>
      <c r="B259" s="6"/>
      <c r="C259" s="6"/>
      <c r="D259" s="6"/>
      <c r="E259" s="6"/>
      <c r="F259" s="21"/>
      <c r="G259" s="22"/>
    </row>
    <row r="260" spans="1:7" x14ac:dyDescent="0.25">
      <c r="A260" s="9">
        <v>255</v>
      </c>
      <c r="B260" s="6"/>
      <c r="C260" s="6"/>
      <c r="D260" s="6"/>
      <c r="E260" s="6"/>
      <c r="F260" s="21"/>
      <c r="G260" s="22"/>
    </row>
    <row r="261" spans="1:7" x14ac:dyDescent="0.25">
      <c r="A261" s="9">
        <v>256</v>
      </c>
      <c r="B261" s="6"/>
      <c r="C261" s="6"/>
      <c r="D261" s="6"/>
      <c r="E261" s="6"/>
      <c r="F261" s="21"/>
      <c r="G261" s="22"/>
    </row>
    <row r="262" spans="1:7" x14ac:dyDescent="0.25">
      <c r="A262" s="9">
        <v>257</v>
      </c>
      <c r="B262" s="6"/>
      <c r="C262" s="6"/>
      <c r="D262" s="6"/>
      <c r="E262" s="6"/>
      <c r="F262" s="21"/>
      <c r="G262" s="22"/>
    </row>
    <row r="263" spans="1:7" x14ac:dyDescent="0.25">
      <c r="A263" s="9">
        <v>258</v>
      </c>
      <c r="B263" s="6"/>
      <c r="C263" s="6"/>
      <c r="D263" s="6"/>
      <c r="E263" s="6"/>
      <c r="F263" s="21"/>
      <c r="G263" s="22"/>
    </row>
    <row r="264" spans="1:7" x14ac:dyDescent="0.25">
      <c r="A264" s="9">
        <v>259</v>
      </c>
      <c r="B264" s="6"/>
      <c r="C264" s="6"/>
      <c r="D264" s="6"/>
      <c r="E264" s="6"/>
      <c r="F264" s="21"/>
      <c r="G264" s="22"/>
    </row>
  </sheetData>
  <mergeCells count="39">
    <mergeCell ref="F37:G37"/>
    <mergeCell ref="F38:G38"/>
    <mergeCell ref="F40:G40"/>
    <mergeCell ref="F41:G41"/>
    <mergeCell ref="F19:G19"/>
    <mergeCell ref="F27:G27"/>
    <mergeCell ref="F28:G28"/>
    <mergeCell ref="F21:G21"/>
    <mergeCell ref="F22:G22"/>
    <mergeCell ref="F23:G23"/>
    <mergeCell ref="F24:G24"/>
    <mergeCell ref="F25:G25"/>
    <mergeCell ref="F26:G26"/>
    <mergeCell ref="F29:G29"/>
    <mergeCell ref="F30:G30"/>
    <mergeCell ref="F31:G31"/>
    <mergeCell ref="A1:E1"/>
    <mergeCell ref="F1:G1"/>
    <mergeCell ref="F5:G5"/>
    <mergeCell ref="F6:G6"/>
    <mergeCell ref="F7:G7"/>
    <mergeCell ref="F8:G8"/>
    <mergeCell ref="A3:A4"/>
    <mergeCell ref="B3:B4"/>
    <mergeCell ref="C3:C4"/>
    <mergeCell ref="D3:D4"/>
    <mergeCell ref="E3:E4"/>
    <mergeCell ref="F3:F4"/>
    <mergeCell ref="F20:G20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91"/>
  <sheetViews>
    <sheetView workbookViewId="0">
      <pane xSplit="5" ySplit="7" topLeftCell="F56" activePane="bottomRight" state="frozen"/>
      <selection pane="topRight" activeCell="F1" sqref="F1"/>
      <selection pane="bottomLeft" activeCell="A8" sqref="A8"/>
      <selection pane="bottomRight" activeCell="A71" sqref="A71:XFD71"/>
    </sheetView>
  </sheetViews>
  <sheetFormatPr defaultRowHeight="16.5" x14ac:dyDescent="0.25"/>
  <cols>
    <col min="1" max="1" width="10.375" bestFit="1" customWidth="1"/>
    <col min="2" max="2" width="14.625" customWidth="1"/>
    <col min="3" max="3" width="12.125" bestFit="1" customWidth="1"/>
    <col min="4" max="4" width="8.125" bestFit="1" customWidth="1"/>
    <col min="5" max="5" width="10.375" bestFit="1" customWidth="1"/>
    <col min="7" max="7" width="14.125" bestFit="1" customWidth="1"/>
    <col min="11" max="11" width="12.125" bestFit="1" customWidth="1"/>
  </cols>
  <sheetData>
    <row r="1" spans="1:11" x14ac:dyDescent="0.25">
      <c r="A1" s="49" t="s">
        <v>7</v>
      </c>
      <c r="B1" s="50"/>
      <c r="C1" s="50"/>
      <c r="D1" s="50"/>
      <c r="E1" s="50"/>
      <c r="F1" s="66" t="s">
        <v>47</v>
      </c>
      <c r="G1" s="66"/>
      <c r="J1" s="2"/>
      <c r="K1" s="3"/>
    </row>
    <row r="2" spans="1:1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11" x14ac:dyDescent="0.25">
      <c r="A3" s="56">
        <f>(E3-F3)/D3</f>
        <v>51.523072956947665</v>
      </c>
      <c r="B3" s="63">
        <f>E3/D3</f>
        <v>54.238979118329468</v>
      </c>
      <c r="C3" s="58">
        <f>SUM('713股價'!B2)</f>
        <v>54.75</v>
      </c>
      <c r="D3" s="55">
        <f>SUM(D6:D999)</f>
        <v>3879</v>
      </c>
      <c r="E3" s="55">
        <f>SUM(E6:E999)</f>
        <v>210393</v>
      </c>
      <c r="F3" s="55">
        <f>SUM(F6:F999)</f>
        <v>10535</v>
      </c>
      <c r="G3" s="7">
        <f>G4/E3</f>
        <v>5.9494612463342388E-2</v>
      </c>
    </row>
    <row r="4" spans="1:11" x14ac:dyDescent="0.25">
      <c r="A4" s="56"/>
      <c r="B4" s="63"/>
      <c r="C4" s="58"/>
      <c r="D4" s="55"/>
      <c r="E4" s="55"/>
      <c r="F4" s="55"/>
      <c r="G4" s="8">
        <f>(C3-B3)*D3+F3</f>
        <v>12517.249999999995</v>
      </c>
    </row>
    <row r="5" spans="1:11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1" t="s">
        <v>5</v>
      </c>
      <c r="G5" s="51"/>
    </row>
    <row r="6" spans="1:11" x14ac:dyDescent="0.25">
      <c r="A6" s="10">
        <v>1</v>
      </c>
      <c r="B6" s="19">
        <v>20231225</v>
      </c>
      <c r="C6" s="19">
        <v>49.95</v>
      </c>
      <c r="D6" s="19">
        <v>109</v>
      </c>
      <c r="E6" s="19">
        <v>5445</v>
      </c>
      <c r="F6" s="52"/>
      <c r="G6" s="52"/>
    </row>
    <row r="7" spans="1:11" x14ac:dyDescent="0.25">
      <c r="A7" s="10">
        <v>2</v>
      </c>
      <c r="B7" s="20">
        <v>20240125</v>
      </c>
      <c r="C7" s="20">
        <v>49.76</v>
      </c>
      <c r="D7" s="20">
        <v>109</v>
      </c>
      <c r="E7" s="20">
        <v>5425</v>
      </c>
      <c r="F7" s="59"/>
      <c r="G7" s="59"/>
    </row>
    <row r="8" spans="1:11" x14ac:dyDescent="0.25">
      <c r="A8" s="10">
        <v>3</v>
      </c>
      <c r="B8" s="20">
        <v>20240226</v>
      </c>
      <c r="C8" s="20">
        <v>51.1</v>
      </c>
      <c r="D8" s="20">
        <v>106</v>
      </c>
      <c r="E8" s="20">
        <v>5418</v>
      </c>
      <c r="F8" s="59"/>
      <c r="G8" s="59"/>
    </row>
    <row r="9" spans="1:11" x14ac:dyDescent="0.25">
      <c r="A9" s="10">
        <v>4</v>
      </c>
      <c r="B9" s="20">
        <v>20240325</v>
      </c>
      <c r="C9" s="20">
        <v>54.55</v>
      </c>
      <c r="D9" s="20">
        <v>100</v>
      </c>
      <c r="E9" s="20">
        <v>5456</v>
      </c>
      <c r="F9" s="59"/>
      <c r="G9" s="59"/>
    </row>
    <row r="10" spans="1:11" x14ac:dyDescent="0.25">
      <c r="A10" s="10">
        <v>5</v>
      </c>
      <c r="B10" s="20">
        <v>20240415</v>
      </c>
      <c r="C10" s="20"/>
      <c r="D10" s="20"/>
      <c r="E10" s="20"/>
      <c r="F10" s="59">
        <v>275</v>
      </c>
      <c r="G10" s="59"/>
    </row>
    <row r="11" spans="1:11" x14ac:dyDescent="0.25">
      <c r="A11" s="10">
        <v>6</v>
      </c>
      <c r="B11" s="20">
        <v>20240425</v>
      </c>
      <c r="C11" s="20">
        <v>54.85</v>
      </c>
      <c r="D11" s="20">
        <v>98</v>
      </c>
      <c r="E11" s="20">
        <v>5376</v>
      </c>
      <c r="F11" s="60"/>
      <c r="G11" s="61"/>
    </row>
    <row r="12" spans="1:11" x14ac:dyDescent="0.25">
      <c r="A12" s="10">
        <v>7</v>
      </c>
      <c r="B12" s="20">
        <v>20240527</v>
      </c>
      <c r="C12" s="20">
        <v>57.7</v>
      </c>
      <c r="D12" s="20">
        <v>94</v>
      </c>
      <c r="E12" s="20">
        <v>5425</v>
      </c>
      <c r="F12" s="60"/>
      <c r="G12" s="61"/>
    </row>
    <row r="13" spans="1:11" x14ac:dyDescent="0.25">
      <c r="A13" s="10">
        <v>8</v>
      </c>
      <c r="B13" s="20">
        <v>20240625</v>
      </c>
      <c r="C13" s="20">
        <v>58.2</v>
      </c>
      <c r="D13" s="20">
        <v>93</v>
      </c>
      <c r="E13" s="20">
        <v>5414</v>
      </c>
      <c r="F13" s="60"/>
      <c r="G13" s="61"/>
    </row>
    <row r="14" spans="1:11" x14ac:dyDescent="0.25">
      <c r="A14" s="10">
        <v>9</v>
      </c>
      <c r="B14" s="20">
        <v>20240715</v>
      </c>
      <c r="C14" s="20"/>
      <c r="D14" s="20"/>
      <c r="E14" s="20"/>
      <c r="F14" s="59">
        <v>914</v>
      </c>
      <c r="G14" s="59"/>
    </row>
    <row r="15" spans="1:11" x14ac:dyDescent="0.25">
      <c r="A15" s="10">
        <v>10</v>
      </c>
      <c r="B15" s="20">
        <v>20240726</v>
      </c>
      <c r="C15" s="20">
        <v>57.3</v>
      </c>
      <c r="D15" s="20">
        <v>93</v>
      </c>
      <c r="E15" s="20">
        <v>5330</v>
      </c>
      <c r="F15" s="59"/>
      <c r="G15" s="59"/>
    </row>
    <row r="16" spans="1:11" x14ac:dyDescent="0.25">
      <c r="A16" s="10">
        <v>11</v>
      </c>
      <c r="B16" s="20">
        <v>20240815</v>
      </c>
      <c r="C16" s="20">
        <v>57.65</v>
      </c>
      <c r="D16" s="20">
        <v>39</v>
      </c>
      <c r="E16" s="20">
        <v>2249</v>
      </c>
      <c r="F16" s="59"/>
      <c r="G16" s="59"/>
    </row>
    <row r="17" spans="1:7" x14ac:dyDescent="0.25">
      <c r="A17" s="10">
        <v>12</v>
      </c>
      <c r="B17" s="20">
        <v>20240826</v>
      </c>
      <c r="C17" s="20">
        <v>58.1</v>
      </c>
      <c r="D17" s="20">
        <v>39</v>
      </c>
      <c r="E17" s="20">
        <v>2267</v>
      </c>
      <c r="F17" s="59"/>
      <c r="G17" s="59"/>
    </row>
    <row r="18" spans="1:7" x14ac:dyDescent="0.25">
      <c r="A18" s="10">
        <v>13</v>
      </c>
      <c r="B18" s="20">
        <v>20240905</v>
      </c>
      <c r="C18" s="20">
        <v>57.7</v>
      </c>
      <c r="D18" s="20">
        <v>39</v>
      </c>
      <c r="E18" s="20">
        <v>2251</v>
      </c>
      <c r="F18" s="59"/>
      <c r="G18" s="59"/>
    </row>
    <row r="19" spans="1:7" x14ac:dyDescent="0.25">
      <c r="A19" s="10">
        <v>14</v>
      </c>
      <c r="B19" s="20">
        <v>20240916</v>
      </c>
      <c r="C19" s="20">
        <v>58.3</v>
      </c>
      <c r="D19" s="20">
        <v>39</v>
      </c>
      <c r="E19" s="20">
        <v>2275</v>
      </c>
      <c r="F19" s="59"/>
      <c r="G19" s="59"/>
    </row>
    <row r="20" spans="1:7" x14ac:dyDescent="0.25">
      <c r="A20" s="10">
        <v>15</v>
      </c>
      <c r="B20" s="20">
        <v>20240925</v>
      </c>
      <c r="C20" s="20">
        <v>57.75</v>
      </c>
      <c r="D20" s="20">
        <v>39</v>
      </c>
      <c r="E20" s="20">
        <v>2253</v>
      </c>
      <c r="F20" s="59"/>
      <c r="G20" s="59"/>
    </row>
    <row r="21" spans="1:7" x14ac:dyDescent="0.25">
      <c r="A21" s="10">
        <v>16</v>
      </c>
      <c r="B21" s="20">
        <v>20241007</v>
      </c>
      <c r="C21" s="20">
        <v>57.3</v>
      </c>
      <c r="D21" s="20">
        <v>40</v>
      </c>
      <c r="E21" s="20">
        <v>2293</v>
      </c>
      <c r="F21" s="59"/>
      <c r="G21" s="59"/>
    </row>
    <row r="22" spans="1:7" x14ac:dyDescent="0.25">
      <c r="A22" s="10">
        <v>17</v>
      </c>
      <c r="B22" s="20">
        <v>20241015</v>
      </c>
      <c r="C22" s="20">
        <v>57</v>
      </c>
      <c r="D22" s="20">
        <v>40</v>
      </c>
      <c r="E22" s="20">
        <v>2281</v>
      </c>
      <c r="F22" s="59"/>
      <c r="G22" s="59"/>
    </row>
    <row r="23" spans="1:7" x14ac:dyDescent="0.25">
      <c r="A23" s="10">
        <v>18</v>
      </c>
      <c r="B23" s="20">
        <v>20241015</v>
      </c>
      <c r="C23" s="20"/>
      <c r="D23" s="20"/>
      <c r="E23" s="20"/>
      <c r="F23" s="59">
        <v>1427</v>
      </c>
      <c r="G23" s="59"/>
    </row>
    <row r="24" spans="1:7" x14ac:dyDescent="0.25">
      <c r="A24" s="10">
        <v>19</v>
      </c>
      <c r="B24" s="20">
        <v>20241025</v>
      </c>
      <c r="C24" s="20">
        <v>57.4</v>
      </c>
      <c r="D24" s="20">
        <v>39</v>
      </c>
      <c r="E24" s="20">
        <v>2240</v>
      </c>
      <c r="F24" s="59"/>
      <c r="G24" s="59"/>
    </row>
    <row r="25" spans="1:7" x14ac:dyDescent="0.25">
      <c r="A25" s="10">
        <v>20</v>
      </c>
      <c r="B25" s="20">
        <v>20241105</v>
      </c>
      <c r="C25" s="20">
        <v>56.4</v>
      </c>
      <c r="D25" s="20">
        <v>40</v>
      </c>
      <c r="E25" s="20">
        <v>2257</v>
      </c>
      <c r="F25" s="59"/>
      <c r="G25" s="59"/>
    </row>
    <row r="26" spans="1:7" x14ac:dyDescent="0.25">
      <c r="A26" s="10">
        <v>21</v>
      </c>
      <c r="B26" s="20">
        <v>20241115</v>
      </c>
      <c r="C26" s="20">
        <v>55.8</v>
      </c>
      <c r="D26" s="20">
        <v>40</v>
      </c>
      <c r="E26" s="20">
        <v>2233</v>
      </c>
      <c r="F26" s="59"/>
      <c r="G26" s="59"/>
    </row>
    <row r="27" spans="1:7" x14ac:dyDescent="0.25">
      <c r="A27" s="10">
        <v>22</v>
      </c>
      <c r="B27" s="20">
        <v>20241125</v>
      </c>
      <c r="C27" s="20">
        <v>55.75</v>
      </c>
      <c r="D27" s="20">
        <v>41</v>
      </c>
      <c r="E27" s="20">
        <v>2287</v>
      </c>
      <c r="F27" s="59"/>
      <c r="G27" s="59"/>
    </row>
    <row r="28" spans="1:7" x14ac:dyDescent="0.25">
      <c r="A28" s="10">
        <v>23</v>
      </c>
      <c r="B28" s="20">
        <v>20241205</v>
      </c>
      <c r="C28" s="20">
        <v>55.7</v>
      </c>
      <c r="D28" s="20">
        <v>40</v>
      </c>
      <c r="E28" s="20">
        <v>2229</v>
      </c>
      <c r="F28" s="73"/>
      <c r="G28" s="73"/>
    </row>
    <row r="29" spans="1:7" x14ac:dyDescent="0.25">
      <c r="A29" s="10">
        <v>24</v>
      </c>
      <c r="B29" s="20">
        <v>20241216</v>
      </c>
      <c r="C29" s="20">
        <v>55.8</v>
      </c>
      <c r="D29" s="20">
        <v>40</v>
      </c>
      <c r="E29" s="20">
        <v>2233</v>
      </c>
      <c r="F29" s="73"/>
      <c r="G29" s="73"/>
    </row>
    <row r="30" spans="1:7" x14ac:dyDescent="0.25">
      <c r="A30" s="10">
        <v>25</v>
      </c>
      <c r="B30" s="20">
        <v>20241225</v>
      </c>
      <c r="C30" s="20">
        <v>53.95</v>
      </c>
      <c r="D30" s="20">
        <v>42</v>
      </c>
      <c r="E30" s="20">
        <v>2267</v>
      </c>
      <c r="F30" s="59"/>
      <c r="G30" s="59"/>
    </row>
    <row r="31" spans="1:7" x14ac:dyDescent="0.25">
      <c r="A31" s="10">
        <v>26</v>
      </c>
      <c r="B31" s="28">
        <v>20250106</v>
      </c>
      <c r="C31" s="28">
        <v>53.2</v>
      </c>
      <c r="D31" s="28">
        <v>42</v>
      </c>
      <c r="E31" s="28">
        <v>2235</v>
      </c>
      <c r="F31" s="62"/>
      <c r="G31" s="62"/>
    </row>
    <row r="32" spans="1:7" x14ac:dyDescent="0.25">
      <c r="A32" s="10">
        <v>27</v>
      </c>
      <c r="B32" s="28">
        <v>20250113</v>
      </c>
      <c r="C32" s="28"/>
      <c r="D32" s="28"/>
      <c r="E32" s="28"/>
      <c r="F32" s="62">
        <v>1834</v>
      </c>
      <c r="G32" s="62"/>
    </row>
    <row r="33" spans="1:7" x14ac:dyDescent="0.25">
      <c r="A33" s="10">
        <v>28</v>
      </c>
      <c r="B33" s="28">
        <v>20250115</v>
      </c>
      <c r="C33" s="28">
        <v>53.1</v>
      </c>
      <c r="D33" s="28">
        <v>42</v>
      </c>
      <c r="E33" s="28">
        <v>2231</v>
      </c>
      <c r="F33" s="62"/>
      <c r="G33" s="62"/>
    </row>
    <row r="34" spans="1:7" x14ac:dyDescent="0.25">
      <c r="A34" s="10">
        <v>29</v>
      </c>
      <c r="B34" s="28">
        <v>20250203</v>
      </c>
      <c r="C34" s="28">
        <v>53.55</v>
      </c>
      <c r="D34" s="28">
        <v>42</v>
      </c>
      <c r="E34" s="28">
        <v>2250</v>
      </c>
      <c r="F34" s="62"/>
      <c r="G34" s="62"/>
    </row>
    <row r="35" spans="1:7" x14ac:dyDescent="0.25">
      <c r="A35" s="10">
        <v>30</v>
      </c>
      <c r="B35" s="28">
        <v>20250205</v>
      </c>
      <c r="C35" s="28">
        <v>53.85</v>
      </c>
      <c r="D35" s="28">
        <v>42</v>
      </c>
      <c r="E35" s="28">
        <v>2263</v>
      </c>
      <c r="F35" s="62"/>
      <c r="G35" s="62"/>
    </row>
    <row r="36" spans="1:7" x14ac:dyDescent="0.25">
      <c r="A36" s="10">
        <v>31</v>
      </c>
      <c r="B36" s="28">
        <v>20250225</v>
      </c>
      <c r="C36" s="28"/>
      <c r="D36" s="28"/>
      <c r="E36" s="28">
        <v>2254</v>
      </c>
      <c r="F36" s="62"/>
      <c r="G36" s="62"/>
    </row>
    <row r="37" spans="1:7" x14ac:dyDescent="0.25">
      <c r="A37" s="10">
        <v>32</v>
      </c>
      <c r="B37" s="28">
        <v>20250305</v>
      </c>
      <c r="C37" s="28">
        <v>55.2</v>
      </c>
      <c r="D37" s="28">
        <v>41</v>
      </c>
      <c r="E37" s="28">
        <v>2264</v>
      </c>
      <c r="F37" s="62"/>
      <c r="G37" s="62"/>
    </row>
    <row r="38" spans="1:7" x14ac:dyDescent="0.25">
      <c r="A38" s="10">
        <v>33</v>
      </c>
      <c r="B38" s="28">
        <v>20250317</v>
      </c>
      <c r="C38" s="28">
        <v>54.8</v>
      </c>
      <c r="D38" s="28">
        <v>41</v>
      </c>
      <c r="E38" s="28">
        <v>2248</v>
      </c>
      <c r="F38" s="62"/>
      <c r="G38" s="62"/>
    </row>
    <row r="39" spans="1:7" x14ac:dyDescent="0.25">
      <c r="A39" s="10">
        <v>34</v>
      </c>
      <c r="B39" s="28">
        <v>20250325</v>
      </c>
      <c r="C39" s="28">
        <v>53.95</v>
      </c>
      <c r="D39" s="28">
        <v>42</v>
      </c>
      <c r="E39" s="28">
        <v>2267</v>
      </c>
      <c r="F39" s="62"/>
      <c r="G39" s="62"/>
    </row>
    <row r="40" spans="1:7" x14ac:dyDescent="0.25">
      <c r="A40" s="10">
        <v>35</v>
      </c>
      <c r="B40" s="28">
        <v>20250331</v>
      </c>
      <c r="C40" s="28">
        <v>52.5</v>
      </c>
      <c r="D40" s="28">
        <v>1000</v>
      </c>
      <c r="E40" s="28">
        <v>52549</v>
      </c>
      <c r="F40" s="62"/>
      <c r="G40" s="62"/>
    </row>
    <row r="41" spans="1:7" x14ac:dyDescent="0.25">
      <c r="A41" s="10">
        <v>36</v>
      </c>
      <c r="B41" s="28">
        <v>20250407</v>
      </c>
      <c r="C41" s="28">
        <v>47.57</v>
      </c>
      <c r="D41" s="28">
        <v>43</v>
      </c>
      <c r="E41" s="28">
        <v>2047</v>
      </c>
      <c r="F41" s="62"/>
      <c r="G41" s="62"/>
    </row>
    <row r="42" spans="1:7" x14ac:dyDescent="0.25">
      <c r="A42" s="10">
        <v>37</v>
      </c>
      <c r="B42" s="28">
        <v>20250415</v>
      </c>
      <c r="C42" s="28">
        <v>49.66</v>
      </c>
      <c r="D42" s="28">
        <v>45</v>
      </c>
      <c r="E42" s="28">
        <v>2236</v>
      </c>
      <c r="F42" s="62"/>
      <c r="G42" s="62"/>
    </row>
    <row r="43" spans="1:7" x14ac:dyDescent="0.25">
      <c r="A43" s="10">
        <v>38</v>
      </c>
      <c r="B43" s="28">
        <v>20250415</v>
      </c>
      <c r="C43" s="28"/>
      <c r="D43" s="28"/>
      <c r="E43" s="28">
        <v>2358</v>
      </c>
      <c r="F43" s="62"/>
      <c r="G43" s="62"/>
    </row>
    <row r="44" spans="1:7" x14ac:dyDescent="0.25">
      <c r="A44" s="10">
        <v>39</v>
      </c>
      <c r="B44" s="28">
        <v>20250425</v>
      </c>
      <c r="C44" s="28">
        <v>50.15</v>
      </c>
      <c r="D44" s="28">
        <v>45</v>
      </c>
      <c r="E44" s="28">
        <v>2258</v>
      </c>
      <c r="F44" s="62"/>
      <c r="G44" s="62"/>
    </row>
    <row r="45" spans="1:7" x14ac:dyDescent="0.25">
      <c r="A45" s="10">
        <v>40</v>
      </c>
      <c r="B45" s="28">
        <v>20250505</v>
      </c>
      <c r="C45" s="28">
        <v>51</v>
      </c>
      <c r="D45" s="28">
        <v>44</v>
      </c>
      <c r="E45" s="28">
        <v>2245</v>
      </c>
      <c r="F45" s="62"/>
      <c r="G45" s="62"/>
    </row>
    <row r="46" spans="1:7" x14ac:dyDescent="0.25">
      <c r="A46" s="10">
        <v>41</v>
      </c>
      <c r="B46" s="28">
        <v>20250515</v>
      </c>
      <c r="C46" s="28">
        <v>51.7</v>
      </c>
      <c r="D46" s="28">
        <v>43</v>
      </c>
      <c r="E46" s="28">
        <v>2224</v>
      </c>
      <c r="F46" s="62"/>
      <c r="G46" s="62"/>
    </row>
    <row r="47" spans="1:7" x14ac:dyDescent="0.25">
      <c r="A47" s="10">
        <v>42</v>
      </c>
      <c r="B47" s="28">
        <v>20250526</v>
      </c>
      <c r="C47" s="28">
        <v>52.1</v>
      </c>
      <c r="D47" s="28">
        <v>43</v>
      </c>
      <c r="E47" s="28">
        <v>2241</v>
      </c>
      <c r="F47" s="62"/>
      <c r="G47" s="62"/>
    </row>
    <row r="48" spans="1:7" x14ac:dyDescent="0.25">
      <c r="A48" s="10">
        <v>43</v>
      </c>
      <c r="B48" s="28">
        <v>20250605</v>
      </c>
      <c r="C48" s="28">
        <v>51.2</v>
      </c>
      <c r="D48" s="28">
        <v>44</v>
      </c>
      <c r="E48" s="28">
        <v>2254</v>
      </c>
      <c r="F48" s="62"/>
      <c r="G48" s="62"/>
    </row>
    <row r="49" spans="1:7" x14ac:dyDescent="0.25">
      <c r="A49" s="10">
        <v>44</v>
      </c>
      <c r="B49" s="28">
        <v>20250616</v>
      </c>
      <c r="C49" s="28">
        <v>51.7</v>
      </c>
      <c r="D49" s="28">
        <v>43</v>
      </c>
      <c r="E49" s="28">
        <v>2224</v>
      </c>
      <c r="F49" s="62"/>
      <c r="G49" s="62"/>
    </row>
    <row r="50" spans="1:7" x14ac:dyDescent="0.25">
      <c r="A50" s="10">
        <v>45</v>
      </c>
      <c r="B50" s="28">
        <v>20250625</v>
      </c>
      <c r="C50" s="28">
        <v>50.25</v>
      </c>
      <c r="D50" s="28">
        <v>45</v>
      </c>
      <c r="E50" s="28">
        <v>2262</v>
      </c>
      <c r="F50" s="62"/>
      <c r="G50" s="62"/>
    </row>
    <row r="51" spans="1:7" x14ac:dyDescent="0.25">
      <c r="A51" s="10">
        <v>46</v>
      </c>
      <c r="B51" s="28">
        <v>20250707</v>
      </c>
      <c r="C51" s="28">
        <v>50.8</v>
      </c>
      <c r="D51" s="28">
        <v>44</v>
      </c>
      <c r="E51" s="28">
        <v>2236</v>
      </c>
      <c r="F51" s="62"/>
      <c r="G51" s="62"/>
    </row>
    <row r="52" spans="1:7" x14ac:dyDescent="0.25">
      <c r="A52" s="10">
        <v>47</v>
      </c>
      <c r="B52" s="28">
        <v>20250711</v>
      </c>
      <c r="C52" s="28"/>
      <c r="D52" s="28"/>
      <c r="E52" s="28"/>
      <c r="F52" s="62">
        <v>3381</v>
      </c>
      <c r="G52" s="62"/>
    </row>
    <row r="53" spans="1:7" x14ac:dyDescent="0.25">
      <c r="A53" s="10">
        <v>48</v>
      </c>
      <c r="B53" s="28">
        <v>20250715</v>
      </c>
      <c r="C53" s="28">
        <v>51.1</v>
      </c>
      <c r="D53" s="28">
        <v>44</v>
      </c>
      <c r="E53" s="28">
        <v>2249</v>
      </c>
      <c r="F53" s="62"/>
      <c r="G53" s="62"/>
    </row>
    <row r="54" spans="1:7" x14ac:dyDescent="0.25">
      <c r="A54" s="10">
        <v>49</v>
      </c>
      <c r="B54" s="28">
        <v>20250725</v>
      </c>
      <c r="C54" s="28">
        <v>51.1</v>
      </c>
      <c r="D54" s="28">
        <v>44</v>
      </c>
      <c r="E54" s="28">
        <v>2249</v>
      </c>
      <c r="F54" s="62"/>
      <c r="G54" s="62"/>
    </row>
    <row r="55" spans="1:7" x14ac:dyDescent="0.25">
      <c r="A55" s="10">
        <v>50</v>
      </c>
      <c r="B55" s="28">
        <v>20250805</v>
      </c>
      <c r="C55" s="28">
        <v>51.15</v>
      </c>
      <c r="D55" s="28">
        <v>44</v>
      </c>
      <c r="E55" s="28">
        <v>2252</v>
      </c>
      <c r="F55" s="62"/>
      <c r="G55" s="62"/>
    </row>
    <row r="56" spans="1:7" x14ac:dyDescent="0.25">
      <c r="A56" s="10">
        <v>51</v>
      </c>
      <c r="B56" s="28">
        <v>20250815</v>
      </c>
      <c r="C56" s="28">
        <v>51.4</v>
      </c>
      <c r="D56" s="28">
        <v>44</v>
      </c>
      <c r="E56" s="28">
        <v>2263</v>
      </c>
      <c r="F56" s="62"/>
      <c r="G56" s="62"/>
    </row>
    <row r="57" spans="1:7" x14ac:dyDescent="0.25">
      <c r="A57" s="10">
        <v>52</v>
      </c>
      <c r="B57" s="28">
        <v>20250825</v>
      </c>
      <c r="C57" s="28">
        <v>51.4</v>
      </c>
      <c r="D57" s="28">
        <v>44</v>
      </c>
      <c r="E57" s="28">
        <v>2263</v>
      </c>
      <c r="F57" s="62"/>
      <c r="G57" s="62"/>
    </row>
    <row r="58" spans="1:7" x14ac:dyDescent="0.25">
      <c r="A58" s="10">
        <v>53</v>
      </c>
      <c r="B58" s="28">
        <v>20250905</v>
      </c>
      <c r="C58" s="28">
        <v>51.6</v>
      </c>
      <c r="D58" s="28">
        <v>44</v>
      </c>
      <c r="E58" s="28">
        <v>2271</v>
      </c>
      <c r="F58" s="62"/>
      <c r="G58" s="62"/>
    </row>
    <row r="59" spans="1:7" x14ac:dyDescent="0.25">
      <c r="A59" s="10">
        <v>54</v>
      </c>
      <c r="B59" s="28">
        <v>20250915</v>
      </c>
      <c r="C59" s="28">
        <v>51.8</v>
      </c>
      <c r="D59" s="28">
        <v>43</v>
      </c>
      <c r="E59" s="28">
        <v>2228</v>
      </c>
      <c r="F59" s="62"/>
      <c r="G59" s="62"/>
    </row>
    <row r="60" spans="1:7" x14ac:dyDescent="0.25">
      <c r="A60" s="10">
        <v>55</v>
      </c>
      <c r="B60" s="28">
        <v>20250925</v>
      </c>
      <c r="C60" s="28">
        <v>51.7</v>
      </c>
      <c r="D60" s="28">
        <v>44</v>
      </c>
      <c r="E60" s="28">
        <v>2276</v>
      </c>
      <c r="F60" s="62"/>
      <c r="G60" s="62"/>
    </row>
    <row r="61" spans="1:7" x14ac:dyDescent="0.25">
      <c r="A61" s="10">
        <v>56</v>
      </c>
      <c r="B61" s="28">
        <v>20251007</v>
      </c>
      <c r="C61" s="28">
        <v>51.2</v>
      </c>
      <c r="D61" s="28">
        <v>48</v>
      </c>
      <c r="E61" s="28">
        <v>2459</v>
      </c>
      <c r="F61" s="62"/>
      <c r="G61" s="62"/>
    </row>
    <row r="62" spans="1:7" x14ac:dyDescent="0.25">
      <c r="A62" s="10">
        <v>57</v>
      </c>
      <c r="B62" s="28">
        <v>20251015</v>
      </c>
      <c r="C62" s="28">
        <v>51.17</v>
      </c>
      <c r="D62" s="28">
        <v>48</v>
      </c>
      <c r="E62" s="28">
        <v>2456</v>
      </c>
      <c r="F62" s="62"/>
      <c r="G62" s="62"/>
    </row>
    <row r="63" spans="1:7" x14ac:dyDescent="0.25">
      <c r="A63" s="10">
        <v>58</v>
      </c>
      <c r="B63" s="28">
        <v>20251015</v>
      </c>
      <c r="C63" s="28"/>
      <c r="D63" s="28"/>
      <c r="E63" s="28"/>
      <c r="F63" s="62">
        <v>2704</v>
      </c>
      <c r="G63" s="62"/>
    </row>
    <row r="64" spans="1:7" x14ac:dyDescent="0.25">
      <c r="A64" s="10">
        <v>59</v>
      </c>
      <c r="B64" s="28">
        <v>20251027</v>
      </c>
      <c r="C64" s="28">
        <v>51.84</v>
      </c>
      <c r="D64" s="28">
        <v>48</v>
      </c>
      <c r="E64" s="28">
        <v>2489</v>
      </c>
      <c r="F64" s="62"/>
      <c r="G64" s="62"/>
    </row>
    <row r="65" spans="1:7" x14ac:dyDescent="0.25">
      <c r="A65" s="10">
        <v>60</v>
      </c>
      <c r="B65" s="28">
        <v>20251105</v>
      </c>
      <c r="C65" s="28">
        <v>50.93</v>
      </c>
      <c r="D65" s="28">
        <v>49</v>
      </c>
      <c r="E65" s="28">
        <v>2497</v>
      </c>
      <c r="F65" s="62"/>
      <c r="G65" s="62"/>
    </row>
    <row r="66" spans="1:7" x14ac:dyDescent="0.25">
      <c r="A66" s="10">
        <v>61</v>
      </c>
      <c r="B66" s="28">
        <v>20251117</v>
      </c>
      <c r="C66" s="28">
        <v>50.65</v>
      </c>
      <c r="D66" s="28">
        <v>49</v>
      </c>
      <c r="E66" s="28">
        <v>2483</v>
      </c>
      <c r="F66" s="62"/>
      <c r="G66" s="62"/>
    </row>
    <row r="67" spans="1:7" x14ac:dyDescent="0.25">
      <c r="A67" s="10">
        <v>62</v>
      </c>
      <c r="B67" s="28">
        <v>20251125</v>
      </c>
      <c r="C67" s="28">
        <v>50.18</v>
      </c>
      <c r="D67" s="28">
        <v>49</v>
      </c>
      <c r="E67" s="28">
        <v>2460</v>
      </c>
      <c r="F67" s="62"/>
      <c r="G67" s="62"/>
    </row>
    <row r="68" spans="1:7" x14ac:dyDescent="0.25">
      <c r="A68" s="10">
        <v>63</v>
      </c>
      <c r="B68" s="28">
        <v>20251205</v>
      </c>
      <c r="C68" s="28">
        <v>50.45</v>
      </c>
      <c r="D68" s="28">
        <v>49</v>
      </c>
      <c r="E68" s="28">
        <v>2473</v>
      </c>
      <c r="F68" s="62"/>
      <c r="G68" s="62"/>
    </row>
    <row r="69" spans="1:7" x14ac:dyDescent="0.25">
      <c r="A69" s="10">
        <v>64</v>
      </c>
      <c r="B69" s="28">
        <v>20251215</v>
      </c>
      <c r="C69" s="28">
        <v>50.79</v>
      </c>
      <c r="D69" s="28">
        <v>49</v>
      </c>
      <c r="E69" s="28">
        <v>2490</v>
      </c>
      <c r="F69" s="62"/>
      <c r="G69" s="62"/>
    </row>
    <row r="70" spans="1:7" x14ac:dyDescent="0.25">
      <c r="A70" s="10">
        <v>65</v>
      </c>
      <c r="B70" s="28">
        <v>20251226</v>
      </c>
      <c r="C70" s="28">
        <v>50.7</v>
      </c>
      <c r="D70" s="28">
        <v>49</v>
      </c>
      <c r="E70" s="28">
        <v>2485</v>
      </c>
      <c r="F70" s="62"/>
      <c r="G70" s="62"/>
    </row>
    <row r="71" spans="1:7" x14ac:dyDescent="0.25">
      <c r="A71" s="10">
        <v>66</v>
      </c>
      <c r="B71" s="39"/>
      <c r="C71" s="39"/>
      <c r="D71" s="39"/>
      <c r="E71" s="39"/>
      <c r="F71" s="46"/>
      <c r="G71" s="46"/>
    </row>
    <row r="72" spans="1:7" x14ac:dyDescent="0.25">
      <c r="A72" s="10">
        <v>67</v>
      </c>
      <c r="B72" s="39"/>
      <c r="C72" s="39"/>
      <c r="D72" s="39"/>
      <c r="E72" s="39"/>
      <c r="F72" s="46"/>
      <c r="G72" s="46"/>
    </row>
    <row r="73" spans="1:7" x14ac:dyDescent="0.25">
      <c r="A73" s="10">
        <v>68</v>
      </c>
      <c r="B73" s="39"/>
      <c r="C73" s="39"/>
      <c r="D73" s="39"/>
      <c r="E73" s="39"/>
      <c r="F73" s="46"/>
      <c r="G73" s="46"/>
    </row>
    <row r="74" spans="1:7" x14ac:dyDescent="0.25">
      <c r="A74" s="10">
        <v>69</v>
      </c>
      <c r="B74" s="39"/>
      <c r="C74" s="39"/>
      <c r="D74" s="39"/>
      <c r="E74" s="39"/>
      <c r="F74" s="46"/>
      <c r="G74" s="46"/>
    </row>
    <row r="75" spans="1:7" x14ac:dyDescent="0.25">
      <c r="A75" s="10">
        <v>70</v>
      </c>
      <c r="B75" s="39"/>
      <c r="C75" s="39"/>
      <c r="D75" s="39"/>
      <c r="E75" s="39"/>
      <c r="F75" s="46"/>
      <c r="G75" s="46"/>
    </row>
    <row r="76" spans="1:7" x14ac:dyDescent="0.25">
      <c r="A76" s="10">
        <v>71</v>
      </c>
      <c r="B76" s="39"/>
      <c r="C76" s="39"/>
      <c r="D76" s="39"/>
      <c r="E76" s="39"/>
      <c r="F76" s="46"/>
      <c r="G76" s="46"/>
    </row>
    <row r="77" spans="1:7" x14ac:dyDescent="0.25">
      <c r="A77" s="10">
        <v>72</v>
      </c>
      <c r="B77" s="39"/>
      <c r="C77" s="39"/>
      <c r="D77" s="39"/>
      <c r="E77" s="39"/>
      <c r="F77" s="46"/>
      <c r="G77" s="46"/>
    </row>
    <row r="78" spans="1:7" x14ac:dyDescent="0.25">
      <c r="A78" s="10">
        <v>73</v>
      </c>
      <c r="B78" s="39"/>
      <c r="C78" s="39"/>
      <c r="D78" s="39"/>
      <c r="E78" s="39"/>
      <c r="F78" s="46"/>
      <c r="G78" s="46"/>
    </row>
    <row r="79" spans="1:7" x14ac:dyDescent="0.25">
      <c r="A79" s="10">
        <v>74</v>
      </c>
      <c r="B79" s="39"/>
      <c r="C79" s="39"/>
      <c r="D79" s="39"/>
      <c r="E79" s="39"/>
      <c r="F79" s="46"/>
      <c r="G79" s="46"/>
    </row>
    <row r="80" spans="1:7" x14ac:dyDescent="0.25">
      <c r="A80" s="10">
        <v>75</v>
      </c>
      <c r="B80" s="42"/>
      <c r="C80" s="42"/>
      <c r="D80" s="42"/>
      <c r="E80" s="42"/>
      <c r="F80" s="46"/>
      <c r="G80" s="46"/>
    </row>
    <row r="81" spans="1:7" x14ac:dyDescent="0.25">
      <c r="A81" s="10">
        <v>76</v>
      </c>
      <c r="B81" s="42"/>
      <c r="C81" s="42"/>
      <c r="D81" s="42"/>
      <c r="E81" s="42"/>
      <c r="F81" s="46"/>
      <c r="G81" s="46"/>
    </row>
    <row r="82" spans="1:7" x14ac:dyDescent="0.25">
      <c r="A82" s="10">
        <v>77</v>
      </c>
      <c r="B82" s="42"/>
      <c r="C82" s="42"/>
      <c r="D82" s="42"/>
      <c r="E82" s="42"/>
      <c r="F82" s="46"/>
      <c r="G82" s="46"/>
    </row>
    <row r="83" spans="1:7" x14ac:dyDescent="0.25">
      <c r="A83" s="10">
        <v>78</v>
      </c>
      <c r="B83" s="42"/>
      <c r="C83" s="42"/>
      <c r="D83" s="42"/>
      <c r="E83" s="42"/>
      <c r="F83" s="46"/>
      <c r="G83" s="46"/>
    </row>
    <row r="84" spans="1:7" x14ac:dyDescent="0.25">
      <c r="A84" s="10">
        <v>79</v>
      </c>
      <c r="B84" s="42"/>
      <c r="C84" s="42"/>
      <c r="D84" s="42"/>
      <c r="E84" s="42"/>
      <c r="F84" s="46"/>
      <c r="G84" s="46"/>
    </row>
    <row r="85" spans="1:7" x14ac:dyDescent="0.25">
      <c r="A85" s="10">
        <v>80</v>
      </c>
      <c r="B85" s="42"/>
      <c r="C85" s="42"/>
      <c r="D85" s="42"/>
      <c r="E85" s="42"/>
      <c r="F85" s="46"/>
      <c r="G85" s="46"/>
    </row>
    <row r="86" spans="1:7" x14ac:dyDescent="0.25">
      <c r="A86" s="10">
        <v>81</v>
      </c>
      <c r="B86" s="42"/>
      <c r="C86" s="42"/>
      <c r="D86" s="42"/>
      <c r="E86" s="42"/>
      <c r="F86" s="46"/>
      <c r="G86" s="46"/>
    </row>
    <row r="87" spans="1:7" x14ac:dyDescent="0.25">
      <c r="A87" s="10">
        <v>82</v>
      </c>
      <c r="B87" s="42"/>
      <c r="C87" s="42"/>
      <c r="D87" s="42"/>
      <c r="E87" s="42"/>
      <c r="F87" s="46"/>
      <c r="G87" s="46"/>
    </row>
    <row r="88" spans="1:7" x14ac:dyDescent="0.25">
      <c r="A88" s="10">
        <v>83</v>
      </c>
      <c r="B88" s="42"/>
      <c r="C88" s="42"/>
      <c r="D88" s="42"/>
      <c r="E88" s="42"/>
      <c r="F88" s="46"/>
      <c r="G88" s="46"/>
    </row>
    <row r="89" spans="1:7" x14ac:dyDescent="0.25">
      <c r="A89" s="10">
        <v>84</v>
      </c>
      <c r="B89" s="42"/>
      <c r="C89" s="42"/>
      <c r="D89" s="42"/>
      <c r="E89" s="42"/>
      <c r="F89" s="46"/>
      <c r="G89" s="46"/>
    </row>
    <row r="90" spans="1:7" x14ac:dyDescent="0.25">
      <c r="A90" s="10">
        <v>85</v>
      </c>
      <c r="B90" s="42"/>
      <c r="C90" s="42"/>
      <c r="D90" s="42"/>
      <c r="E90" s="42"/>
      <c r="F90" s="46"/>
      <c r="G90" s="46"/>
    </row>
    <row r="91" spans="1:7" x14ac:dyDescent="0.25">
      <c r="A91" s="10">
        <v>86</v>
      </c>
      <c r="B91" s="42"/>
      <c r="C91" s="42"/>
      <c r="D91" s="42"/>
      <c r="E91" s="42"/>
      <c r="F91" s="46"/>
      <c r="G91" s="46"/>
    </row>
    <row r="92" spans="1:7" x14ac:dyDescent="0.25">
      <c r="A92" s="10">
        <v>87</v>
      </c>
      <c r="B92" s="42"/>
      <c r="C92" s="42"/>
      <c r="D92" s="42"/>
      <c r="E92" s="42"/>
      <c r="F92" s="46"/>
      <c r="G92" s="46"/>
    </row>
    <row r="93" spans="1:7" x14ac:dyDescent="0.25">
      <c r="A93" s="10">
        <v>88</v>
      </c>
      <c r="B93" s="42"/>
      <c r="C93" s="42"/>
      <c r="D93" s="42"/>
      <c r="E93" s="42"/>
      <c r="F93" s="46"/>
      <c r="G93" s="46"/>
    </row>
    <row r="94" spans="1:7" x14ac:dyDescent="0.25">
      <c r="A94" s="10">
        <v>89</v>
      </c>
      <c r="B94" s="42"/>
      <c r="C94" s="42"/>
      <c r="D94" s="42"/>
      <c r="E94" s="42"/>
      <c r="F94" s="46"/>
      <c r="G94" s="46"/>
    </row>
    <row r="95" spans="1:7" x14ac:dyDescent="0.25">
      <c r="A95" s="10">
        <v>90</v>
      </c>
      <c r="B95" s="42"/>
      <c r="C95" s="42"/>
      <c r="D95" s="42"/>
      <c r="E95" s="42"/>
      <c r="F95" s="46"/>
      <c r="G95" s="46"/>
    </row>
    <row r="96" spans="1:7" x14ac:dyDescent="0.25">
      <c r="A96" s="10">
        <v>91</v>
      </c>
      <c r="B96" s="42"/>
      <c r="C96" s="42"/>
      <c r="D96" s="42"/>
      <c r="E96" s="42"/>
      <c r="F96" s="46"/>
      <c r="G96" s="46"/>
    </row>
    <row r="97" spans="1:7" x14ac:dyDescent="0.25">
      <c r="A97" s="10">
        <v>92</v>
      </c>
      <c r="B97" s="42"/>
      <c r="C97" s="42"/>
      <c r="D97" s="42"/>
      <c r="E97" s="42"/>
      <c r="F97" s="46"/>
      <c r="G97" s="46"/>
    </row>
    <row r="98" spans="1:7" x14ac:dyDescent="0.25">
      <c r="A98" s="10">
        <v>93</v>
      </c>
      <c r="B98" s="42"/>
      <c r="C98" s="42"/>
      <c r="D98" s="42"/>
      <c r="E98" s="42"/>
      <c r="F98" s="46"/>
      <c r="G98" s="46"/>
    </row>
    <row r="99" spans="1:7" x14ac:dyDescent="0.25">
      <c r="A99" s="10">
        <v>94</v>
      </c>
      <c r="B99" s="42"/>
      <c r="C99" s="42"/>
      <c r="D99" s="42"/>
      <c r="E99" s="42"/>
      <c r="F99" s="46"/>
      <c r="G99" s="46"/>
    </row>
    <row r="100" spans="1:7" x14ac:dyDescent="0.25">
      <c r="A100" s="10">
        <v>95</v>
      </c>
      <c r="B100" s="42"/>
      <c r="C100" s="42"/>
      <c r="D100" s="42"/>
      <c r="E100" s="42"/>
      <c r="F100" s="46"/>
      <c r="G100" s="46"/>
    </row>
    <row r="101" spans="1:7" x14ac:dyDescent="0.25">
      <c r="A101" s="10">
        <v>96</v>
      </c>
      <c r="B101" s="42"/>
      <c r="C101" s="42"/>
      <c r="D101" s="42"/>
      <c r="E101" s="42"/>
      <c r="F101" s="46"/>
      <c r="G101" s="46"/>
    </row>
    <row r="102" spans="1:7" x14ac:dyDescent="0.25">
      <c r="A102" s="10">
        <v>97</v>
      </c>
      <c r="B102" s="42"/>
      <c r="C102" s="42"/>
      <c r="D102" s="42"/>
      <c r="E102" s="42"/>
      <c r="F102" s="46"/>
      <c r="G102" s="46"/>
    </row>
    <row r="103" spans="1:7" x14ac:dyDescent="0.25">
      <c r="A103" s="10">
        <v>98</v>
      </c>
      <c r="B103" s="42"/>
      <c r="C103" s="42"/>
      <c r="D103" s="42"/>
      <c r="E103" s="42"/>
      <c r="F103" s="46"/>
      <c r="G103" s="46"/>
    </row>
    <row r="104" spans="1:7" x14ac:dyDescent="0.25">
      <c r="A104" s="10">
        <v>99</v>
      </c>
      <c r="B104" s="42"/>
      <c r="C104" s="42"/>
      <c r="D104" s="42"/>
      <c r="E104" s="42"/>
      <c r="F104" s="46"/>
      <c r="G104" s="46"/>
    </row>
    <row r="105" spans="1:7" x14ac:dyDescent="0.25">
      <c r="A105" s="10">
        <v>100</v>
      </c>
      <c r="B105" s="42"/>
      <c r="C105" s="42"/>
      <c r="D105" s="42"/>
      <c r="E105" s="42"/>
      <c r="F105" s="46"/>
      <c r="G105" s="46"/>
    </row>
    <row r="106" spans="1:7" x14ac:dyDescent="0.25">
      <c r="A106" s="10">
        <v>101</v>
      </c>
      <c r="B106" s="42"/>
      <c r="C106" s="42"/>
      <c r="D106" s="42"/>
      <c r="E106" s="42"/>
      <c r="F106" s="46"/>
      <c r="G106" s="46"/>
    </row>
    <row r="107" spans="1:7" x14ac:dyDescent="0.25">
      <c r="A107" s="10">
        <v>102</v>
      </c>
      <c r="B107" s="5"/>
      <c r="C107" s="5"/>
      <c r="D107" s="5"/>
      <c r="E107" s="5"/>
      <c r="F107" s="68"/>
      <c r="G107" s="68"/>
    </row>
    <row r="108" spans="1:7" x14ac:dyDescent="0.25">
      <c r="A108" s="10">
        <v>103</v>
      </c>
      <c r="B108" s="5"/>
      <c r="C108" s="5"/>
      <c r="D108" s="5"/>
      <c r="E108" s="5"/>
      <c r="F108" s="68"/>
      <c r="G108" s="68"/>
    </row>
    <row r="109" spans="1:7" x14ac:dyDescent="0.25">
      <c r="A109" s="10">
        <v>104</v>
      </c>
      <c r="B109" s="5"/>
      <c r="C109" s="5"/>
      <c r="D109" s="5"/>
      <c r="E109" s="5"/>
      <c r="F109" s="68"/>
      <c r="G109" s="68"/>
    </row>
    <row r="110" spans="1:7" x14ac:dyDescent="0.25">
      <c r="A110" s="10">
        <v>105</v>
      </c>
      <c r="B110" s="5"/>
      <c r="C110" s="5"/>
      <c r="D110" s="5"/>
      <c r="E110" s="5"/>
      <c r="F110" s="68"/>
      <c r="G110" s="68"/>
    </row>
    <row r="111" spans="1:7" x14ac:dyDescent="0.25">
      <c r="A111" s="10">
        <v>106</v>
      </c>
      <c r="B111" s="5"/>
      <c r="C111" s="5"/>
      <c r="D111" s="5"/>
      <c r="E111" s="5"/>
      <c r="F111" s="68"/>
      <c r="G111" s="68"/>
    </row>
    <row r="112" spans="1:7" x14ac:dyDescent="0.25">
      <c r="A112" s="10">
        <v>107</v>
      </c>
      <c r="B112" s="5"/>
      <c r="C112" s="5"/>
      <c r="D112" s="5"/>
      <c r="E112" s="5"/>
      <c r="F112" s="68"/>
      <c r="G112" s="68"/>
    </row>
    <row r="113" spans="1:7" x14ac:dyDescent="0.25">
      <c r="A113" s="10">
        <v>108</v>
      </c>
      <c r="B113" s="5"/>
      <c r="C113" s="5"/>
      <c r="D113" s="5"/>
      <c r="E113" s="5"/>
      <c r="F113" s="68"/>
      <c r="G113" s="68"/>
    </row>
    <row r="114" spans="1:7" x14ac:dyDescent="0.25">
      <c r="A114" s="10">
        <v>109</v>
      </c>
      <c r="B114" s="5"/>
      <c r="C114" s="5"/>
      <c r="D114" s="5"/>
      <c r="E114" s="5"/>
      <c r="F114" s="68"/>
      <c r="G114" s="68"/>
    </row>
    <row r="115" spans="1:7" x14ac:dyDescent="0.25">
      <c r="A115" s="10">
        <v>110</v>
      </c>
      <c r="B115" s="5"/>
      <c r="C115" s="5"/>
      <c r="D115" s="5"/>
      <c r="E115" s="5"/>
      <c r="F115" s="68"/>
      <c r="G115" s="68"/>
    </row>
    <row r="116" spans="1:7" x14ac:dyDescent="0.25">
      <c r="A116" s="10">
        <v>111</v>
      </c>
      <c r="B116" s="5"/>
      <c r="C116" s="5"/>
      <c r="D116" s="5"/>
      <c r="E116" s="5"/>
      <c r="F116" s="68"/>
      <c r="G116" s="68"/>
    </row>
    <row r="117" spans="1:7" x14ac:dyDescent="0.25">
      <c r="A117" s="10">
        <v>112</v>
      </c>
      <c r="B117" s="5"/>
      <c r="C117" s="5"/>
      <c r="D117" s="5"/>
      <c r="E117" s="5"/>
      <c r="F117" s="68"/>
      <c r="G117" s="68"/>
    </row>
    <row r="118" spans="1:7" x14ac:dyDescent="0.25">
      <c r="A118" s="10">
        <v>113</v>
      </c>
      <c r="B118" s="5"/>
      <c r="C118" s="5"/>
      <c r="D118" s="5"/>
      <c r="E118" s="5"/>
      <c r="F118" s="68"/>
      <c r="G118" s="68"/>
    </row>
    <row r="119" spans="1:7" x14ac:dyDescent="0.25">
      <c r="A119" s="10">
        <v>114</v>
      </c>
      <c r="B119" s="5"/>
      <c r="C119" s="5"/>
      <c r="D119" s="5"/>
      <c r="E119" s="5"/>
      <c r="F119" s="68"/>
      <c r="G119" s="68"/>
    </row>
    <row r="120" spans="1:7" x14ac:dyDescent="0.25">
      <c r="A120" s="10">
        <v>115</v>
      </c>
      <c r="B120" s="5"/>
      <c r="C120" s="5"/>
      <c r="D120" s="5"/>
      <c r="E120" s="5"/>
      <c r="F120" s="68"/>
      <c r="G120" s="68"/>
    </row>
    <row r="121" spans="1:7" x14ac:dyDescent="0.25">
      <c r="A121" s="10">
        <v>116</v>
      </c>
      <c r="B121" s="5"/>
      <c r="C121" s="5"/>
      <c r="D121" s="5"/>
      <c r="E121" s="5"/>
      <c r="F121" s="68"/>
      <c r="G121" s="68"/>
    </row>
    <row r="122" spans="1:7" x14ac:dyDescent="0.25">
      <c r="A122" s="10">
        <v>117</v>
      </c>
      <c r="B122" s="5"/>
      <c r="C122" s="5"/>
      <c r="D122" s="5"/>
      <c r="E122" s="5"/>
      <c r="F122" s="68"/>
      <c r="G122" s="68"/>
    </row>
    <row r="123" spans="1:7" x14ac:dyDescent="0.25">
      <c r="A123" s="10">
        <v>118</v>
      </c>
      <c r="B123" s="5"/>
      <c r="C123" s="5"/>
      <c r="D123" s="5"/>
      <c r="E123" s="5"/>
      <c r="F123" s="68"/>
      <c r="G123" s="68"/>
    </row>
    <row r="124" spans="1:7" x14ac:dyDescent="0.25">
      <c r="A124" s="10">
        <v>119</v>
      </c>
      <c r="B124" s="5"/>
      <c r="C124" s="5"/>
      <c r="D124" s="5"/>
      <c r="E124" s="5"/>
      <c r="F124" s="68"/>
      <c r="G124" s="68"/>
    </row>
    <row r="125" spans="1:7" x14ac:dyDescent="0.25">
      <c r="A125" s="10">
        <v>120</v>
      </c>
      <c r="B125" s="5"/>
      <c r="C125" s="5"/>
      <c r="D125" s="5"/>
      <c r="E125" s="5"/>
      <c r="F125" s="68"/>
      <c r="G125" s="68"/>
    </row>
    <row r="126" spans="1:7" x14ac:dyDescent="0.25">
      <c r="A126" s="10">
        <v>121</v>
      </c>
      <c r="B126" s="5"/>
      <c r="C126" s="5"/>
      <c r="D126" s="5"/>
      <c r="E126" s="5"/>
      <c r="F126" s="68"/>
      <c r="G126" s="68"/>
    </row>
    <row r="127" spans="1:7" x14ac:dyDescent="0.25">
      <c r="A127" s="10">
        <v>122</v>
      </c>
      <c r="B127" s="5"/>
      <c r="C127" s="5"/>
      <c r="D127" s="5"/>
      <c r="E127" s="5"/>
      <c r="F127" s="68"/>
      <c r="G127" s="68"/>
    </row>
    <row r="128" spans="1:7" x14ac:dyDescent="0.25">
      <c r="A128" s="10">
        <v>123</v>
      </c>
      <c r="B128" s="5"/>
      <c r="C128" s="5"/>
      <c r="D128" s="5"/>
      <c r="E128" s="5"/>
      <c r="F128" s="68"/>
      <c r="G128" s="68"/>
    </row>
    <row r="129" spans="1:7" x14ac:dyDescent="0.25">
      <c r="A129" s="10">
        <v>124</v>
      </c>
      <c r="B129" s="5"/>
      <c r="C129" s="5"/>
      <c r="D129" s="5"/>
      <c r="E129" s="5"/>
      <c r="F129" s="68"/>
      <c r="G129" s="68"/>
    </row>
    <row r="130" spans="1:7" x14ac:dyDescent="0.25">
      <c r="A130" s="10">
        <v>125</v>
      </c>
      <c r="B130" s="5"/>
      <c r="C130" s="5"/>
      <c r="D130" s="5"/>
      <c r="E130" s="5"/>
      <c r="F130" s="68"/>
      <c r="G130" s="68"/>
    </row>
    <row r="131" spans="1:7" x14ac:dyDescent="0.25">
      <c r="A131" s="10">
        <v>126</v>
      </c>
      <c r="B131" s="5"/>
      <c r="C131" s="5"/>
      <c r="D131" s="5"/>
      <c r="E131" s="5"/>
      <c r="F131" s="68"/>
      <c r="G131" s="68"/>
    </row>
    <row r="132" spans="1:7" x14ac:dyDescent="0.25">
      <c r="A132" s="10">
        <v>127</v>
      </c>
      <c r="B132" s="5"/>
      <c r="C132" s="5"/>
      <c r="D132" s="5"/>
      <c r="E132" s="5"/>
      <c r="F132" s="68"/>
      <c r="G132" s="68"/>
    </row>
    <row r="133" spans="1:7" x14ac:dyDescent="0.25">
      <c r="A133" s="10">
        <v>128</v>
      </c>
      <c r="B133" s="5"/>
      <c r="C133" s="5"/>
      <c r="D133" s="5"/>
      <c r="E133" s="5"/>
      <c r="F133" s="68"/>
      <c r="G133" s="68"/>
    </row>
    <row r="134" spans="1:7" x14ac:dyDescent="0.25">
      <c r="A134" s="10">
        <v>129</v>
      </c>
      <c r="B134" s="5"/>
      <c r="C134" s="5"/>
      <c r="D134" s="5"/>
      <c r="E134" s="5"/>
      <c r="F134" s="68"/>
      <c r="G134" s="68"/>
    </row>
    <row r="135" spans="1:7" x14ac:dyDescent="0.25">
      <c r="A135" s="10">
        <v>130</v>
      </c>
      <c r="B135" s="5"/>
      <c r="C135" s="5"/>
      <c r="D135" s="5"/>
      <c r="E135" s="5"/>
      <c r="F135" s="68"/>
      <c r="G135" s="68"/>
    </row>
    <row r="136" spans="1:7" x14ac:dyDescent="0.25">
      <c r="A136" s="10">
        <v>131</v>
      </c>
      <c r="B136" s="5"/>
      <c r="C136" s="5"/>
      <c r="D136" s="5"/>
      <c r="E136" s="5"/>
      <c r="F136" s="68"/>
      <c r="G136" s="68"/>
    </row>
    <row r="137" spans="1:7" x14ac:dyDescent="0.25">
      <c r="A137" s="10">
        <v>132</v>
      </c>
      <c r="B137" s="5"/>
      <c r="C137" s="5"/>
      <c r="D137" s="5"/>
      <c r="E137" s="5"/>
      <c r="F137" s="68"/>
      <c r="G137" s="68"/>
    </row>
    <row r="138" spans="1:7" x14ac:dyDescent="0.25">
      <c r="A138" s="10">
        <v>133</v>
      </c>
      <c r="B138" s="5"/>
      <c r="C138" s="5"/>
      <c r="D138" s="5"/>
      <c r="E138" s="5"/>
      <c r="F138" s="68"/>
      <c r="G138" s="68"/>
    </row>
    <row r="139" spans="1:7" x14ac:dyDescent="0.25">
      <c r="A139" s="10">
        <v>134</v>
      </c>
      <c r="B139" s="5"/>
      <c r="C139" s="5"/>
      <c r="D139" s="5"/>
      <c r="E139" s="5"/>
      <c r="F139" s="68"/>
      <c r="G139" s="68"/>
    </row>
    <row r="140" spans="1:7" x14ac:dyDescent="0.25">
      <c r="A140" s="10">
        <v>135</v>
      </c>
      <c r="B140" s="5"/>
      <c r="C140" s="5"/>
      <c r="D140" s="5"/>
      <c r="E140" s="5"/>
      <c r="F140" s="68"/>
      <c r="G140" s="68"/>
    </row>
    <row r="141" spans="1:7" x14ac:dyDescent="0.25">
      <c r="A141" s="10">
        <v>136</v>
      </c>
      <c r="B141" s="5"/>
      <c r="C141" s="5"/>
      <c r="D141" s="5"/>
      <c r="E141" s="5"/>
      <c r="F141" s="68"/>
      <c r="G141" s="68"/>
    </row>
    <row r="142" spans="1:7" x14ac:dyDescent="0.25">
      <c r="A142" s="10">
        <v>137</v>
      </c>
      <c r="B142" s="5"/>
      <c r="C142" s="5"/>
      <c r="D142" s="5"/>
      <c r="E142" s="5"/>
      <c r="F142" s="68"/>
      <c r="G142" s="68"/>
    </row>
    <row r="143" spans="1:7" x14ac:dyDescent="0.25">
      <c r="A143" s="10">
        <v>138</v>
      </c>
      <c r="B143" s="5"/>
      <c r="C143" s="5"/>
      <c r="D143" s="5"/>
      <c r="E143" s="5"/>
      <c r="F143" s="68"/>
      <c r="G143" s="68"/>
    </row>
    <row r="144" spans="1:7" x14ac:dyDescent="0.25">
      <c r="A144" s="10">
        <v>139</v>
      </c>
      <c r="B144" s="5"/>
      <c r="C144" s="5"/>
      <c r="D144" s="5"/>
      <c r="E144" s="5"/>
      <c r="F144" s="68"/>
      <c r="G144" s="68"/>
    </row>
    <row r="145" spans="1:7" x14ac:dyDescent="0.25">
      <c r="A145" s="10">
        <v>140</v>
      </c>
      <c r="B145" s="5"/>
      <c r="C145" s="5"/>
      <c r="D145" s="5"/>
      <c r="E145" s="5"/>
      <c r="F145" s="68"/>
      <c r="G145" s="68"/>
    </row>
    <row r="146" spans="1:7" x14ac:dyDescent="0.25">
      <c r="A146" s="10">
        <v>141</v>
      </c>
      <c r="B146" s="5"/>
      <c r="C146" s="5"/>
      <c r="D146" s="5"/>
      <c r="E146" s="5"/>
      <c r="F146" s="68"/>
      <c r="G146" s="68"/>
    </row>
    <row r="147" spans="1:7" x14ac:dyDescent="0.25">
      <c r="A147" s="10">
        <v>142</v>
      </c>
      <c r="B147" s="5"/>
      <c r="C147" s="5"/>
      <c r="D147" s="5"/>
      <c r="E147" s="5"/>
      <c r="F147" s="68"/>
      <c r="G147" s="68"/>
    </row>
    <row r="148" spans="1:7" x14ac:dyDescent="0.25">
      <c r="A148" s="10">
        <v>143</v>
      </c>
      <c r="B148" s="5"/>
      <c r="C148" s="5"/>
      <c r="D148" s="5"/>
      <c r="E148" s="5"/>
      <c r="F148" s="68"/>
      <c r="G148" s="68"/>
    </row>
    <row r="149" spans="1:7" x14ac:dyDescent="0.25">
      <c r="A149" s="10">
        <v>144</v>
      </c>
      <c r="B149" s="5"/>
      <c r="C149" s="5"/>
      <c r="D149" s="5"/>
      <c r="E149" s="5"/>
      <c r="F149" s="68"/>
      <c r="G149" s="68"/>
    </row>
    <row r="150" spans="1:7" x14ac:dyDescent="0.25">
      <c r="A150" s="10">
        <v>145</v>
      </c>
      <c r="B150" s="5"/>
      <c r="C150" s="5"/>
      <c r="D150" s="5"/>
      <c r="E150" s="5"/>
      <c r="F150" s="68"/>
      <c r="G150" s="68"/>
    </row>
    <row r="151" spans="1:7" x14ac:dyDescent="0.25">
      <c r="A151" s="10">
        <v>146</v>
      </c>
      <c r="B151" s="5"/>
      <c r="C151" s="5"/>
      <c r="D151" s="5"/>
      <c r="E151" s="5"/>
      <c r="F151" s="68"/>
      <c r="G151" s="68"/>
    </row>
    <row r="152" spans="1:7" x14ac:dyDescent="0.25">
      <c r="A152" s="10">
        <v>147</v>
      </c>
      <c r="B152" s="5"/>
      <c r="C152" s="5"/>
      <c r="D152" s="5"/>
      <c r="E152" s="5"/>
      <c r="F152" s="68"/>
      <c r="G152" s="68"/>
    </row>
    <row r="153" spans="1:7" x14ac:dyDescent="0.25">
      <c r="A153" s="10">
        <v>148</v>
      </c>
      <c r="B153" s="5"/>
      <c r="C153" s="5"/>
      <c r="D153" s="5"/>
      <c r="E153" s="5"/>
      <c r="F153" s="68"/>
      <c r="G153" s="68"/>
    </row>
    <row r="154" spans="1:7" x14ac:dyDescent="0.25">
      <c r="A154" s="10">
        <v>149</v>
      </c>
      <c r="B154" s="5"/>
      <c r="C154" s="5"/>
      <c r="D154" s="5"/>
      <c r="E154" s="5"/>
      <c r="F154" s="68"/>
      <c r="G154" s="68"/>
    </row>
    <row r="155" spans="1:7" x14ac:dyDescent="0.25">
      <c r="A155" s="10">
        <v>150</v>
      </c>
      <c r="B155" s="5"/>
      <c r="C155" s="5"/>
      <c r="D155" s="5"/>
      <c r="E155" s="5"/>
      <c r="F155" s="68"/>
      <c r="G155" s="68"/>
    </row>
    <row r="156" spans="1:7" x14ac:dyDescent="0.25">
      <c r="A156" s="10">
        <v>151</v>
      </c>
      <c r="B156" s="5"/>
      <c r="C156" s="5"/>
      <c r="D156" s="5"/>
      <c r="E156" s="5"/>
      <c r="F156" s="68"/>
      <c r="G156" s="68"/>
    </row>
    <row r="157" spans="1:7" x14ac:dyDescent="0.25">
      <c r="A157" s="10">
        <v>152</v>
      </c>
      <c r="B157" s="5"/>
      <c r="C157" s="5"/>
      <c r="D157" s="5"/>
      <c r="E157" s="5"/>
      <c r="F157" s="68"/>
      <c r="G157" s="68"/>
    </row>
    <row r="158" spans="1:7" x14ac:dyDescent="0.25">
      <c r="A158" s="10">
        <v>153</v>
      </c>
      <c r="B158" s="5"/>
      <c r="C158" s="5"/>
      <c r="D158" s="5"/>
      <c r="E158" s="5"/>
      <c r="F158" s="68"/>
      <c r="G158" s="68"/>
    </row>
    <row r="159" spans="1:7" x14ac:dyDescent="0.25">
      <c r="A159" s="10">
        <v>154</v>
      </c>
      <c r="B159" s="5"/>
      <c r="C159" s="5"/>
      <c r="D159" s="5"/>
      <c r="E159" s="5"/>
      <c r="F159" s="68"/>
      <c r="G159" s="68"/>
    </row>
    <row r="160" spans="1:7" x14ac:dyDescent="0.25">
      <c r="A160" s="10">
        <v>155</v>
      </c>
      <c r="B160" s="5"/>
      <c r="C160" s="5"/>
      <c r="D160" s="5"/>
      <c r="E160" s="5"/>
      <c r="F160" s="68"/>
      <c r="G160" s="68"/>
    </row>
    <row r="161" spans="1:7" x14ac:dyDescent="0.25">
      <c r="A161" s="10">
        <v>156</v>
      </c>
      <c r="B161" s="5"/>
      <c r="C161" s="5"/>
      <c r="D161" s="5"/>
      <c r="E161" s="5"/>
      <c r="F161" s="68"/>
      <c r="G161" s="68"/>
    </row>
    <row r="162" spans="1:7" x14ac:dyDescent="0.25">
      <c r="A162" s="10">
        <v>157</v>
      </c>
      <c r="B162" s="5"/>
      <c r="C162" s="5"/>
      <c r="D162" s="5"/>
      <c r="E162" s="5"/>
      <c r="F162" s="68"/>
      <c r="G162" s="68"/>
    </row>
    <row r="163" spans="1:7" x14ac:dyDescent="0.25">
      <c r="A163" s="10">
        <v>158</v>
      </c>
      <c r="B163" s="5"/>
      <c r="C163" s="5"/>
      <c r="D163" s="5"/>
      <c r="E163" s="5"/>
      <c r="F163" s="68"/>
      <c r="G163" s="68"/>
    </row>
    <row r="164" spans="1:7" x14ac:dyDescent="0.25">
      <c r="A164" s="10">
        <v>159</v>
      </c>
      <c r="B164" s="5"/>
      <c r="C164" s="5"/>
      <c r="D164" s="5"/>
      <c r="E164" s="5"/>
      <c r="F164" s="68"/>
      <c r="G164" s="68"/>
    </row>
    <row r="165" spans="1:7" x14ac:dyDescent="0.25">
      <c r="A165" s="10">
        <v>160</v>
      </c>
      <c r="B165" s="5"/>
      <c r="C165" s="5"/>
      <c r="D165" s="5"/>
      <c r="E165" s="5"/>
      <c r="F165" s="68"/>
      <c r="G165" s="68"/>
    </row>
    <row r="166" spans="1:7" x14ac:dyDescent="0.25">
      <c r="A166" s="10">
        <v>161</v>
      </c>
      <c r="B166" s="5"/>
      <c r="C166" s="5"/>
      <c r="D166" s="5"/>
      <c r="E166" s="5"/>
      <c r="F166" s="68"/>
      <c r="G166" s="68"/>
    </row>
    <row r="167" spans="1:7" x14ac:dyDescent="0.25">
      <c r="A167" s="10">
        <v>162</v>
      </c>
      <c r="B167" s="5"/>
      <c r="C167" s="5"/>
      <c r="D167" s="5"/>
      <c r="E167" s="5"/>
      <c r="F167" s="68"/>
      <c r="G167" s="68"/>
    </row>
    <row r="168" spans="1:7" x14ac:dyDescent="0.25">
      <c r="A168" s="10">
        <v>163</v>
      </c>
      <c r="B168" s="5"/>
      <c r="C168" s="5"/>
      <c r="D168" s="5"/>
      <c r="E168" s="5"/>
      <c r="F168" s="68"/>
      <c r="G168" s="68"/>
    </row>
    <row r="169" spans="1:7" x14ac:dyDescent="0.25">
      <c r="A169" s="10">
        <v>164</v>
      </c>
      <c r="B169" s="5"/>
      <c r="C169" s="5"/>
      <c r="D169" s="5"/>
      <c r="E169" s="5"/>
      <c r="F169" s="68"/>
      <c r="G169" s="68"/>
    </row>
    <row r="170" spans="1:7" x14ac:dyDescent="0.25">
      <c r="A170" s="10">
        <v>165</v>
      </c>
      <c r="B170" s="5"/>
      <c r="C170" s="5"/>
      <c r="D170" s="5"/>
      <c r="E170" s="5"/>
      <c r="F170" s="68"/>
      <c r="G170" s="68"/>
    </row>
    <row r="171" spans="1:7" x14ac:dyDescent="0.25">
      <c r="A171" s="10">
        <v>166</v>
      </c>
      <c r="B171" s="5"/>
      <c r="C171" s="5"/>
      <c r="D171" s="5"/>
      <c r="E171" s="5"/>
      <c r="F171" s="68"/>
      <c r="G171" s="68"/>
    </row>
    <row r="172" spans="1:7" x14ac:dyDescent="0.25">
      <c r="A172" s="10">
        <v>167</v>
      </c>
      <c r="B172" s="5"/>
      <c r="C172" s="5"/>
      <c r="D172" s="5"/>
      <c r="E172" s="5"/>
      <c r="F172" s="68"/>
      <c r="G172" s="68"/>
    </row>
    <row r="173" spans="1:7" x14ac:dyDescent="0.25">
      <c r="A173" s="10">
        <v>168</v>
      </c>
      <c r="B173" s="5"/>
      <c r="C173" s="5"/>
      <c r="D173" s="5"/>
      <c r="E173" s="5"/>
      <c r="F173" s="68"/>
      <c r="G173" s="68"/>
    </row>
    <row r="174" spans="1:7" x14ac:dyDescent="0.25">
      <c r="A174" s="10">
        <v>169</v>
      </c>
      <c r="B174" s="5"/>
      <c r="C174" s="5"/>
      <c r="D174" s="5"/>
      <c r="E174" s="5"/>
      <c r="F174" s="68"/>
      <c r="G174" s="68"/>
    </row>
    <row r="175" spans="1:7" x14ac:dyDescent="0.25">
      <c r="A175" s="10">
        <v>170</v>
      </c>
      <c r="B175" s="5"/>
      <c r="C175" s="5"/>
      <c r="D175" s="5"/>
      <c r="E175" s="5"/>
      <c r="F175" s="68"/>
      <c r="G175" s="68"/>
    </row>
    <row r="176" spans="1:7" x14ac:dyDescent="0.25">
      <c r="A176" s="10">
        <v>171</v>
      </c>
      <c r="B176" s="5"/>
      <c r="C176" s="5"/>
      <c r="D176" s="5"/>
      <c r="E176" s="5"/>
      <c r="F176" s="68"/>
      <c r="G176" s="68"/>
    </row>
    <row r="177" spans="1:7" x14ac:dyDescent="0.25">
      <c r="A177" s="10">
        <v>172</v>
      </c>
      <c r="B177" s="5"/>
      <c r="C177" s="5"/>
      <c r="D177" s="5"/>
      <c r="E177" s="5"/>
      <c r="F177" s="68"/>
      <c r="G177" s="68"/>
    </row>
    <row r="178" spans="1:7" x14ac:dyDescent="0.25">
      <c r="A178" s="10">
        <v>173</v>
      </c>
      <c r="B178" s="5"/>
      <c r="C178" s="5"/>
      <c r="D178" s="5"/>
      <c r="E178" s="5"/>
      <c r="F178" s="68"/>
      <c r="G178" s="68"/>
    </row>
    <row r="179" spans="1:7" x14ac:dyDescent="0.25">
      <c r="A179" s="10">
        <v>174</v>
      </c>
      <c r="B179" s="5"/>
      <c r="C179" s="5"/>
      <c r="D179" s="5"/>
      <c r="E179" s="5"/>
      <c r="F179" s="68"/>
      <c r="G179" s="68"/>
    </row>
    <row r="180" spans="1:7" x14ac:dyDescent="0.25">
      <c r="A180" s="10">
        <v>175</v>
      </c>
      <c r="B180" s="5"/>
      <c r="C180" s="5"/>
      <c r="D180" s="5"/>
      <c r="E180" s="5"/>
      <c r="F180" s="68"/>
      <c r="G180" s="68"/>
    </row>
    <row r="181" spans="1:7" x14ac:dyDescent="0.25">
      <c r="A181" s="10">
        <v>176</v>
      </c>
      <c r="B181" s="5"/>
      <c r="C181" s="5"/>
      <c r="D181" s="5"/>
      <c r="E181" s="5"/>
      <c r="F181" s="68"/>
      <c r="G181" s="68"/>
    </row>
    <row r="182" spans="1:7" x14ac:dyDescent="0.25">
      <c r="A182" s="10">
        <v>177</v>
      </c>
      <c r="B182" s="5"/>
      <c r="C182" s="5"/>
      <c r="D182" s="5"/>
      <c r="E182" s="5"/>
      <c r="F182" s="74"/>
      <c r="G182" s="74"/>
    </row>
    <row r="183" spans="1:7" x14ac:dyDescent="0.25">
      <c r="A183" s="10">
        <v>178</v>
      </c>
      <c r="B183" s="5"/>
      <c r="C183" s="5"/>
      <c r="D183" s="5"/>
      <c r="E183" s="5"/>
      <c r="F183" s="74"/>
      <c r="G183" s="74"/>
    </row>
    <row r="184" spans="1:7" x14ac:dyDescent="0.25">
      <c r="A184" s="10">
        <v>179</v>
      </c>
      <c r="B184" s="5"/>
      <c r="C184" s="5"/>
      <c r="D184" s="5"/>
      <c r="E184" s="5"/>
      <c r="F184" s="74"/>
      <c r="G184" s="74"/>
    </row>
    <row r="185" spans="1:7" x14ac:dyDescent="0.25">
      <c r="A185" s="10">
        <v>180</v>
      </c>
      <c r="B185" s="5"/>
      <c r="C185" s="5"/>
      <c r="D185" s="5"/>
      <c r="E185" s="5"/>
      <c r="F185" s="74"/>
      <c r="G185" s="74"/>
    </row>
    <row r="186" spans="1:7" x14ac:dyDescent="0.25">
      <c r="A186" s="10">
        <v>181</v>
      </c>
      <c r="B186" s="5"/>
      <c r="C186" s="5"/>
      <c r="D186" s="5"/>
      <c r="E186" s="5"/>
      <c r="F186" s="74"/>
      <c r="G186" s="74"/>
    </row>
    <row r="187" spans="1:7" x14ac:dyDescent="0.25">
      <c r="A187" s="10">
        <v>182</v>
      </c>
      <c r="B187" s="5"/>
      <c r="C187" s="5"/>
      <c r="D187" s="5"/>
      <c r="E187" s="5"/>
      <c r="F187" s="74"/>
      <c r="G187" s="74"/>
    </row>
    <row r="188" spans="1:7" x14ac:dyDescent="0.25">
      <c r="A188" s="10">
        <v>183</v>
      </c>
      <c r="B188" s="5"/>
      <c r="C188" s="5"/>
      <c r="D188" s="5"/>
      <c r="E188" s="5"/>
      <c r="F188" s="74"/>
      <c r="G188" s="74"/>
    </row>
    <row r="189" spans="1:7" x14ac:dyDescent="0.25">
      <c r="A189" s="10">
        <v>184</v>
      </c>
      <c r="B189" s="5"/>
      <c r="C189" s="5"/>
      <c r="D189" s="5"/>
      <c r="E189" s="5"/>
      <c r="F189" s="74"/>
      <c r="G189" s="74"/>
    </row>
    <row r="190" spans="1:7" x14ac:dyDescent="0.25">
      <c r="A190" s="10">
        <v>185</v>
      </c>
      <c r="B190" s="5"/>
      <c r="C190" s="5"/>
      <c r="D190" s="5"/>
      <c r="E190" s="5"/>
      <c r="F190" s="74"/>
      <c r="G190" s="74"/>
    </row>
    <row r="191" spans="1:7" x14ac:dyDescent="0.25">
      <c r="A191" s="10">
        <v>186</v>
      </c>
      <c r="B191" s="5"/>
      <c r="C191" s="5"/>
      <c r="D191" s="5"/>
      <c r="E191" s="5"/>
      <c r="F191" s="74"/>
      <c r="G191" s="74"/>
    </row>
  </sheetData>
  <mergeCells count="195">
    <mergeCell ref="F187:G187"/>
    <mergeCell ref="F188:G188"/>
    <mergeCell ref="F189:G189"/>
    <mergeCell ref="F190:G190"/>
    <mergeCell ref="F191:G191"/>
    <mergeCell ref="F182:G182"/>
    <mergeCell ref="F183:G183"/>
    <mergeCell ref="F184:G184"/>
    <mergeCell ref="F185:G185"/>
    <mergeCell ref="F186:G186"/>
    <mergeCell ref="F177:G177"/>
    <mergeCell ref="F178:G178"/>
    <mergeCell ref="F179:G179"/>
    <mergeCell ref="F180:G180"/>
    <mergeCell ref="F181:G181"/>
    <mergeCell ref="F172:G172"/>
    <mergeCell ref="F173:G173"/>
    <mergeCell ref="F174:G174"/>
    <mergeCell ref="F175:G175"/>
    <mergeCell ref="F176:G176"/>
    <mergeCell ref="F167:G167"/>
    <mergeCell ref="F168:G168"/>
    <mergeCell ref="F169:G169"/>
    <mergeCell ref="F170:G170"/>
    <mergeCell ref="F171:G171"/>
    <mergeCell ref="F162:G162"/>
    <mergeCell ref="F163:G163"/>
    <mergeCell ref="F164:G164"/>
    <mergeCell ref="F165:G165"/>
    <mergeCell ref="F166:G166"/>
    <mergeCell ref="F157:G157"/>
    <mergeCell ref="F158:G158"/>
    <mergeCell ref="F159:G159"/>
    <mergeCell ref="F160:G160"/>
    <mergeCell ref="F161:G161"/>
    <mergeCell ref="F152:G152"/>
    <mergeCell ref="F153:G153"/>
    <mergeCell ref="F154:G154"/>
    <mergeCell ref="F155:G155"/>
    <mergeCell ref="F156:G156"/>
    <mergeCell ref="F147:G147"/>
    <mergeCell ref="F148:G148"/>
    <mergeCell ref="F149:G149"/>
    <mergeCell ref="F150:G150"/>
    <mergeCell ref="F151:G151"/>
    <mergeCell ref="F142:G142"/>
    <mergeCell ref="F143:G143"/>
    <mergeCell ref="F144:G144"/>
    <mergeCell ref="F145:G145"/>
    <mergeCell ref="F146:G146"/>
    <mergeCell ref="F137:G137"/>
    <mergeCell ref="F138:G138"/>
    <mergeCell ref="F139:G139"/>
    <mergeCell ref="F140:G140"/>
    <mergeCell ref="F141:G141"/>
    <mergeCell ref="F132:G132"/>
    <mergeCell ref="F133:G133"/>
    <mergeCell ref="F134:G134"/>
    <mergeCell ref="F135:G135"/>
    <mergeCell ref="F136:G136"/>
    <mergeCell ref="F127:G127"/>
    <mergeCell ref="F128:G128"/>
    <mergeCell ref="F129:G129"/>
    <mergeCell ref="F130:G130"/>
    <mergeCell ref="F131:G131"/>
    <mergeCell ref="F122:G122"/>
    <mergeCell ref="F123:G123"/>
    <mergeCell ref="F124:G124"/>
    <mergeCell ref="F125:G125"/>
    <mergeCell ref="F126:G126"/>
    <mergeCell ref="F117:G117"/>
    <mergeCell ref="F118:G118"/>
    <mergeCell ref="F119:G119"/>
    <mergeCell ref="F120:G120"/>
    <mergeCell ref="F121:G121"/>
    <mergeCell ref="F112:G112"/>
    <mergeCell ref="F113:G113"/>
    <mergeCell ref="F114:G114"/>
    <mergeCell ref="F115:G115"/>
    <mergeCell ref="F116:G116"/>
    <mergeCell ref="F107:G107"/>
    <mergeCell ref="F108:G108"/>
    <mergeCell ref="F109:G109"/>
    <mergeCell ref="F110:G110"/>
    <mergeCell ref="F111:G111"/>
    <mergeCell ref="F102:G102"/>
    <mergeCell ref="F103:G103"/>
    <mergeCell ref="F104:G104"/>
    <mergeCell ref="F105:G105"/>
    <mergeCell ref="F106:G106"/>
    <mergeCell ref="F97:G97"/>
    <mergeCell ref="F98:G98"/>
    <mergeCell ref="F99:G99"/>
    <mergeCell ref="F100:G100"/>
    <mergeCell ref="F101:G101"/>
    <mergeCell ref="F92:G92"/>
    <mergeCell ref="F93:G93"/>
    <mergeCell ref="F94:G94"/>
    <mergeCell ref="F95:G95"/>
    <mergeCell ref="F96:G96"/>
    <mergeCell ref="F87:G87"/>
    <mergeCell ref="F88:G88"/>
    <mergeCell ref="F89:G89"/>
    <mergeCell ref="F90:G90"/>
    <mergeCell ref="F91:G91"/>
    <mergeCell ref="F82:G82"/>
    <mergeCell ref="F83:G83"/>
    <mergeCell ref="F84:G84"/>
    <mergeCell ref="F85:G85"/>
    <mergeCell ref="F86:G86"/>
    <mergeCell ref="F77:G77"/>
    <mergeCell ref="F78:G78"/>
    <mergeCell ref="F79:G79"/>
    <mergeCell ref="F80:G80"/>
    <mergeCell ref="F81:G81"/>
    <mergeCell ref="F72:G72"/>
    <mergeCell ref="F73:G73"/>
    <mergeCell ref="F74:G74"/>
    <mergeCell ref="F75:G75"/>
    <mergeCell ref="F76:G76"/>
    <mergeCell ref="F67:G67"/>
    <mergeCell ref="F68:G68"/>
    <mergeCell ref="F69:G69"/>
    <mergeCell ref="F70:G70"/>
    <mergeCell ref="F71:G71"/>
    <mergeCell ref="F62:G62"/>
    <mergeCell ref="F63:G63"/>
    <mergeCell ref="F64:G64"/>
    <mergeCell ref="F65:G65"/>
    <mergeCell ref="F66:G66"/>
    <mergeCell ref="F57:G57"/>
    <mergeCell ref="F58:G58"/>
    <mergeCell ref="F59:G59"/>
    <mergeCell ref="F60:G60"/>
    <mergeCell ref="F61:G61"/>
    <mergeCell ref="F52:G52"/>
    <mergeCell ref="F53:G53"/>
    <mergeCell ref="F54:G54"/>
    <mergeCell ref="F55:G55"/>
    <mergeCell ref="F56:G56"/>
    <mergeCell ref="F47:G47"/>
    <mergeCell ref="F48:G48"/>
    <mergeCell ref="F49:G49"/>
    <mergeCell ref="F50:G50"/>
    <mergeCell ref="F51:G51"/>
    <mergeCell ref="F42:G42"/>
    <mergeCell ref="F43:G43"/>
    <mergeCell ref="F44:G44"/>
    <mergeCell ref="F45:G45"/>
    <mergeCell ref="F46:G46"/>
    <mergeCell ref="F37:G37"/>
    <mergeCell ref="F38:G38"/>
    <mergeCell ref="F39:G39"/>
    <mergeCell ref="F40:G40"/>
    <mergeCell ref="F41:G41"/>
    <mergeCell ref="F32:G32"/>
    <mergeCell ref="F33:G33"/>
    <mergeCell ref="F34:G34"/>
    <mergeCell ref="F35:G35"/>
    <mergeCell ref="F36:G36"/>
    <mergeCell ref="F29:G29"/>
    <mergeCell ref="F30:G30"/>
    <mergeCell ref="F31:G31"/>
    <mergeCell ref="F23:G23"/>
    <mergeCell ref="F24:G24"/>
    <mergeCell ref="F25:G25"/>
    <mergeCell ref="F26:G26"/>
    <mergeCell ref="F27:G27"/>
    <mergeCell ref="F28:G28"/>
    <mergeCell ref="F22:G22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10:G10"/>
    <mergeCell ref="A1:E1"/>
    <mergeCell ref="F1:G1"/>
    <mergeCell ref="A3:A4"/>
    <mergeCell ref="B3:B4"/>
    <mergeCell ref="C3:C4"/>
    <mergeCell ref="D3:D4"/>
    <mergeCell ref="E3:E4"/>
    <mergeCell ref="F3:F4"/>
    <mergeCell ref="F5:G5"/>
    <mergeCell ref="F6:G6"/>
    <mergeCell ref="F7:G7"/>
    <mergeCell ref="F8:G8"/>
    <mergeCell ref="F9:G9"/>
  </mergeCells>
  <phoneticPr fontId="1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52"/>
  <sheetViews>
    <sheetView tabSelected="1"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C6" sqref="C6"/>
    </sheetView>
  </sheetViews>
  <sheetFormatPr defaultRowHeight="16.5" x14ac:dyDescent="0.25"/>
  <cols>
    <col min="1" max="1" width="10.375" bestFit="1" customWidth="1"/>
    <col min="2" max="2" width="14.375" customWidth="1"/>
    <col min="3" max="3" width="10.375" bestFit="1" customWidth="1"/>
    <col min="4" max="4" width="8.125" bestFit="1" customWidth="1"/>
    <col min="5" max="5" width="10.375" bestFit="1" customWidth="1"/>
    <col min="7" max="7" width="14.125" bestFit="1" customWidth="1"/>
    <col min="10" max="10" width="13.875" customWidth="1"/>
  </cols>
  <sheetData>
    <row r="1" spans="1:7" x14ac:dyDescent="0.25">
      <c r="A1" s="49" t="s">
        <v>27</v>
      </c>
      <c r="B1" s="49"/>
      <c r="C1" s="49"/>
      <c r="D1" s="49"/>
      <c r="E1" s="49"/>
      <c r="F1" s="65" t="s">
        <v>48</v>
      </c>
      <c r="G1" s="65"/>
    </row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28</v>
      </c>
    </row>
    <row r="3" spans="1:7" x14ac:dyDescent="0.25">
      <c r="A3" s="83">
        <f>(E3-F3)/D3</f>
        <v>29.399233333333335</v>
      </c>
      <c r="B3" s="63">
        <f>E3/D3</f>
        <v>31.270566666666667</v>
      </c>
      <c r="C3" s="84">
        <f>SUM('687B股價'!B2)</f>
        <v>27.78</v>
      </c>
      <c r="D3" s="55">
        <f>SUM(D6:D999)</f>
        <v>30000</v>
      </c>
      <c r="E3" s="55">
        <f>SUM(E6:E999)</f>
        <v>938117</v>
      </c>
      <c r="F3" s="55">
        <f>SUM(F6:F999)</f>
        <v>56140</v>
      </c>
      <c r="G3" s="7">
        <f>G4/E3</f>
        <v>-5.1781387609434626E-2</v>
      </c>
    </row>
    <row r="4" spans="1:7" x14ac:dyDescent="0.25">
      <c r="A4" s="83"/>
      <c r="B4" s="63"/>
      <c r="C4" s="84"/>
      <c r="D4" s="55"/>
      <c r="E4" s="55"/>
      <c r="F4" s="55"/>
      <c r="G4" s="33">
        <f>(C3-B3)*D3+F3</f>
        <v>-48576.999999999985</v>
      </c>
    </row>
    <row r="5" spans="1:7" x14ac:dyDescent="0.25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51" t="s">
        <v>34</v>
      </c>
      <c r="G5" s="51"/>
    </row>
    <row r="6" spans="1:7" x14ac:dyDescent="0.25">
      <c r="A6" s="10">
        <v>1</v>
      </c>
      <c r="B6" s="20">
        <v>20240605</v>
      </c>
      <c r="C6" s="20">
        <v>31.18</v>
      </c>
      <c r="D6" s="20">
        <v>10000</v>
      </c>
      <c r="E6" s="20">
        <v>312088</v>
      </c>
      <c r="F6" s="59"/>
      <c r="G6" s="59"/>
    </row>
    <row r="7" spans="1:7" x14ac:dyDescent="0.25">
      <c r="A7" s="10">
        <v>2</v>
      </c>
      <c r="B7" s="20">
        <v>20240621</v>
      </c>
      <c r="C7" s="20">
        <v>31.25</v>
      </c>
      <c r="D7" s="20">
        <v>10000</v>
      </c>
      <c r="E7" s="20">
        <v>312789</v>
      </c>
      <c r="F7" s="59"/>
      <c r="G7" s="59"/>
    </row>
    <row r="8" spans="1:7" x14ac:dyDescent="0.25">
      <c r="A8" s="10">
        <v>3</v>
      </c>
      <c r="B8" s="20">
        <v>20240626</v>
      </c>
      <c r="C8" s="20">
        <v>31.46</v>
      </c>
      <c r="D8" s="20">
        <v>5000</v>
      </c>
      <c r="E8" s="20">
        <v>157446</v>
      </c>
      <c r="F8" s="59"/>
      <c r="G8" s="59"/>
    </row>
    <row r="9" spans="1:7" x14ac:dyDescent="0.25">
      <c r="A9" s="10">
        <v>4</v>
      </c>
      <c r="B9" s="20">
        <v>20240711</v>
      </c>
      <c r="C9" s="20">
        <v>31.13</v>
      </c>
      <c r="D9" s="20">
        <v>5000</v>
      </c>
      <c r="E9" s="20">
        <v>155794</v>
      </c>
      <c r="F9" s="59"/>
      <c r="G9" s="59"/>
    </row>
    <row r="10" spans="1:7" x14ac:dyDescent="0.25">
      <c r="A10" s="10">
        <v>5</v>
      </c>
      <c r="B10" s="20">
        <v>20240715</v>
      </c>
      <c r="C10" s="20"/>
      <c r="D10" s="20"/>
      <c r="E10" s="20"/>
      <c r="F10" s="59">
        <v>3390</v>
      </c>
      <c r="G10" s="59"/>
    </row>
    <row r="11" spans="1:7" x14ac:dyDescent="0.25">
      <c r="A11" s="10">
        <v>6</v>
      </c>
      <c r="B11" s="20">
        <v>20241015</v>
      </c>
      <c r="C11" s="20"/>
      <c r="D11" s="20"/>
      <c r="E11" s="20"/>
      <c r="F11" s="60">
        <v>12590</v>
      </c>
      <c r="G11" s="61"/>
    </row>
    <row r="12" spans="1:7" x14ac:dyDescent="0.25">
      <c r="A12" s="10">
        <v>7</v>
      </c>
      <c r="B12" s="28">
        <v>20250113</v>
      </c>
      <c r="C12" s="28"/>
      <c r="D12" s="28"/>
      <c r="E12" s="28"/>
      <c r="F12" s="71">
        <v>11390</v>
      </c>
      <c r="G12" s="72"/>
    </row>
    <row r="13" spans="1:7" x14ac:dyDescent="0.25">
      <c r="A13" s="10">
        <v>8</v>
      </c>
      <c r="B13" s="28">
        <v>20250415</v>
      </c>
      <c r="C13" s="28"/>
      <c r="D13" s="28"/>
      <c r="E13" s="28"/>
      <c r="F13" s="71">
        <v>10490</v>
      </c>
      <c r="G13" s="72"/>
    </row>
    <row r="14" spans="1:7" x14ac:dyDescent="0.25">
      <c r="A14" s="10">
        <v>9</v>
      </c>
      <c r="B14" s="28">
        <v>20250711</v>
      </c>
      <c r="C14" s="28"/>
      <c r="D14" s="28"/>
      <c r="E14" s="28"/>
      <c r="F14" s="71">
        <v>9290</v>
      </c>
      <c r="G14" s="72"/>
    </row>
    <row r="15" spans="1:7" x14ac:dyDescent="0.25">
      <c r="A15" s="10">
        <v>10</v>
      </c>
      <c r="B15" s="28">
        <v>20251015</v>
      </c>
      <c r="C15" s="28"/>
      <c r="D15" s="28"/>
      <c r="E15" s="28"/>
      <c r="F15" s="71">
        <v>8990</v>
      </c>
      <c r="G15" s="72"/>
    </row>
    <row r="16" spans="1:7" x14ac:dyDescent="0.25">
      <c r="A16" s="10">
        <v>11</v>
      </c>
      <c r="B16" s="39"/>
      <c r="C16" s="39"/>
      <c r="D16" s="39"/>
      <c r="E16" s="39"/>
      <c r="F16" s="77"/>
      <c r="G16" s="78"/>
    </row>
    <row r="17" spans="1:7" x14ac:dyDescent="0.25">
      <c r="A17" s="10">
        <v>12</v>
      </c>
      <c r="B17" s="39"/>
      <c r="C17" s="39"/>
      <c r="D17" s="39"/>
      <c r="E17" s="39"/>
      <c r="F17" s="77"/>
      <c r="G17" s="78"/>
    </row>
    <row r="18" spans="1:7" x14ac:dyDescent="0.25">
      <c r="A18" s="10">
        <v>13</v>
      </c>
      <c r="B18" s="39"/>
      <c r="C18" s="39"/>
      <c r="D18" s="39"/>
      <c r="E18" s="39"/>
      <c r="F18" s="77"/>
      <c r="G18" s="78"/>
    </row>
    <row r="19" spans="1:7" x14ac:dyDescent="0.25">
      <c r="A19" s="10">
        <v>14</v>
      </c>
      <c r="B19" s="39"/>
      <c r="C19" s="39"/>
      <c r="D19" s="39"/>
      <c r="E19" s="39"/>
      <c r="F19" s="77"/>
      <c r="G19" s="78"/>
    </row>
    <row r="20" spans="1:7" x14ac:dyDescent="0.25">
      <c r="A20" s="10">
        <v>15</v>
      </c>
      <c r="B20" s="6"/>
      <c r="C20" s="6"/>
      <c r="D20" s="6"/>
      <c r="E20" s="6"/>
      <c r="F20" s="79"/>
      <c r="G20" s="80"/>
    </row>
    <row r="21" spans="1:7" x14ac:dyDescent="0.25">
      <c r="A21" s="10">
        <v>16</v>
      </c>
      <c r="B21" s="6"/>
      <c r="C21" s="6"/>
      <c r="D21" s="6"/>
      <c r="E21" s="6"/>
      <c r="F21" s="79"/>
      <c r="G21" s="80"/>
    </row>
    <row r="22" spans="1:7" x14ac:dyDescent="0.25">
      <c r="A22" s="10">
        <v>17</v>
      </c>
      <c r="B22" s="6"/>
      <c r="C22" s="6"/>
      <c r="D22" s="6"/>
      <c r="E22" s="6"/>
      <c r="F22" s="81"/>
      <c r="G22" s="82"/>
    </row>
    <row r="23" spans="1:7" x14ac:dyDescent="0.25">
      <c r="A23" s="10">
        <v>18</v>
      </c>
      <c r="B23" s="6"/>
      <c r="C23" s="6"/>
      <c r="D23" s="6"/>
      <c r="E23" s="6"/>
      <c r="F23" s="81"/>
      <c r="G23" s="82"/>
    </row>
    <row r="24" spans="1:7" x14ac:dyDescent="0.25">
      <c r="A24" s="10">
        <v>19</v>
      </c>
      <c r="B24" s="5"/>
      <c r="C24" s="5"/>
      <c r="D24" s="5"/>
      <c r="E24" s="5"/>
      <c r="F24" s="75"/>
      <c r="G24" s="76"/>
    </row>
    <row r="25" spans="1:7" x14ac:dyDescent="0.25">
      <c r="A25" s="10">
        <v>20</v>
      </c>
      <c r="B25" s="5"/>
      <c r="C25" s="5"/>
      <c r="D25" s="5"/>
      <c r="E25" s="5"/>
      <c r="F25" s="75"/>
      <c r="G25" s="76"/>
    </row>
    <row r="26" spans="1:7" x14ac:dyDescent="0.25">
      <c r="A26" s="10">
        <v>21</v>
      </c>
      <c r="B26" s="5"/>
      <c r="C26" s="5"/>
      <c r="D26" s="5"/>
      <c r="E26" s="5"/>
      <c r="F26" s="75"/>
      <c r="G26" s="76"/>
    </row>
    <row r="27" spans="1:7" x14ac:dyDescent="0.25">
      <c r="A27" s="10">
        <v>22</v>
      </c>
      <c r="B27" s="5"/>
      <c r="C27" s="5"/>
      <c r="D27" s="5"/>
      <c r="E27" s="5"/>
      <c r="F27" s="75"/>
      <c r="G27" s="76"/>
    </row>
    <row r="28" spans="1:7" x14ac:dyDescent="0.25">
      <c r="A28" s="10">
        <v>23</v>
      </c>
      <c r="B28" s="5"/>
      <c r="C28" s="5"/>
      <c r="D28" s="5"/>
      <c r="E28" s="5"/>
      <c r="F28" s="75"/>
      <c r="G28" s="76"/>
    </row>
    <row r="29" spans="1:7" x14ac:dyDescent="0.25">
      <c r="A29" s="10">
        <v>24</v>
      </c>
      <c r="B29" s="5"/>
      <c r="C29" s="5"/>
      <c r="D29" s="5"/>
      <c r="E29" s="5"/>
      <c r="F29" s="75"/>
      <c r="G29" s="76"/>
    </row>
    <row r="30" spans="1:7" x14ac:dyDescent="0.25">
      <c r="A30" s="10">
        <v>25</v>
      </c>
      <c r="B30" s="5"/>
      <c r="C30" s="5"/>
      <c r="D30" s="5"/>
      <c r="E30" s="5"/>
      <c r="F30" s="75"/>
      <c r="G30" s="76"/>
    </row>
    <row r="31" spans="1:7" x14ac:dyDescent="0.25">
      <c r="A31" s="10">
        <v>26</v>
      </c>
      <c r="B31" s="5"/>
      <c r="C31" s="5"/>
      <c r="D31" s="5"/>
      <c r="E31" s="5"/>
      <c r="F31" s="75"/>
      <c r="G31" s="76"/>
    </row>
    <row r="32" spans="1:7" x14ac:dyDescent="0.25">
      <c r="A32" s="10">
        <v>27</v>
      </c>
      <c r="B32" s="5"/>
      <c r="C32" s="5"/>
      <c r="D32" s="5"/>
      <c r="E32" s="5"/>
      <c r="F32" s="75"/>
      <c r="G32" s="76"/>
    </row>
    <row r="33" spans="1:7" x14ac:dyDescent="0.25">
      <c r="A33" s="10">
        <v>28</v>
      </c>
      <c r="B33" s="5"/>
      <c r="C33" s="5"/>
      <c r="D33" s="5"/>
      <c r="E33" s="5"/>
      <c r="F33" s="75"/>
      <c r="G33" s="76"/>
    </row>
    <row r="34" spans="1:7" x14ac:dyDescent="0.25">
      <c r="A34" s="10">
        <v>29</v>
      </c>
      <c r="B34" s="5"/>
      <c r="C34" s="5"/>
      <c r="D34" s="5"/>
      <c r="E34" s="5"/>
      <c r="F34" s="75"/>
      <c r="G34" s="76"/>
    </row>
    <row r="35" spans="1:7" x14ac:dyDescent="0.25">
      <c r="A35" s="10">
        <v>30</v>
      </c>
      <c r="B35" s="5"/>
      <c r="C35" s="5"/>
      <c r="D35" s="5"/>
      <c r="E35" s="5"/>
      <c r="F35" s="75"/>
      <c r="G35" s="76"/>
    </row>
    <row r="36" spans="1:7" x14ac:dyDescent="0.25">
      <c r="A36" s="10">
        <v>31</v>
      </c>
      <c r="B36" s="5"/>
      <c r="C36" s="5"/>
      <c r="D36" s="5"/>
      <c r="E36" s="5"/>
      <c r="F36" s="75"/>
      <c r="G36" s="76"/>
    </row>
    <row r="37" spans="1:7" x14ac:dyDescent="0.25">
      <c r="A37" s="10">
        <v>32</v>
      </c>
      <c r="B37" s="5"/>
      <c r="C37" s="5"/>
      <c r="D37" s="5"/>
      <c r="E37" s="5"/>
      <c r="F37" s="75"/>
      <c r="G37" s="76"/>
    </row>
    <row r="38" spans="1:7" x14ac:dyDescent="0.25">
      <c r="A38" s="10">
        <v>33</v>
      </c>
      <c r="B38" s="5"/>
      <c r="C38" s="5"/>
      <c r="D38" s="5"/>
      <c r="E38" s="5"/>
      <c r="F38" s="75"/>
      <c r="G38" s="76"/>
    </row>
    <row r="39" spans="1:7" x14ac:dyDescent="0.25">
      <c r="A39" s="10">
        <v>34</v>
      </c>
      <c r="B39" s="5"/>
      <c r="C39" s="5"/>
      <c r="D39" s="5"/>
      <c r="E39" s="5"/>
      <c r="F39" s="75"/>
      <c r="G39" s="76"/>
    </row>
    <row r="40" spans="1:7" x14ac:dyDescent="0.25">
      <c r="A40" s="10">
        <v>35</v>
      </c>
      <c r="B40" s="5"/>
      <c r="C40" s="5"/>
      <c r="D40" s="5"/>
      <c r="E40" s="5"/>
      <c r="F40" s="75"/>
      <c r="G40" s="76"/>
    </row>
    <row r="41" spans="1:7" x14ac:dyDescent="0.25">
      <c r="A41" s="10">
        <v>36</v>
      </c>
      <c r="B41" s="5"/>
      <c r="C41" s="5"/>
      <c r="D41" s="5"/>
      <c r="E41" s="5"/>
      <c r="F41" s="75"/>
      <c r="G41" s="76"/>
    </row>
    <row r="42" spans="1:7" x14ac:dyDescent="0.25">
      <c r="A42" s="10">
        <v>37</v>
      </c>
      <c r="B42" s="5"/>
      <c r="C42" s="5"/>
      <c r="D42" s="5"/>
      <c r="E42" s="5"/>
      <c r="F42" s="75"/>
      <c r="G42" s="76"/>
    </row>
    <row r="43" spans="1:7" x14ac:dyDescent="0.25">
      <c r="A43" s="10">
        <v>38</v>
      </c>
      <c r="B43" s="5"/>
      <c r="C43" s="5"/>
      <c r="D43" s="5"/>
      <c r="E43" s="5"/>
      <c r="F43" s="75"/>
      <c r="G43" s="76"/>
    </row>
    <row r="44" spans="1:7" x14ac:dyDescent="0.25">
      <c r="A44" s="10">
        <v>39</v>
      </c>
      <c r="B44" s="5"/>
      <c r="C44" s="5"/>
      <c r="D44" s="5"/>
      <c r="E44" s="5"/>
      <c r="F44" s="75"/>
      <c r="G44" s="76"/>
    </row>
    <row r="45" spans="1:7" x14ac:dyDescent="0.25">
      <c r="A45" s="10">
        <v>40</v>
      </c>
      <c r="B45" s="5"/>
      <c r="C45" s="5"/>
      <c r="D45" s="5"/>
      <c r="E45" s="5"/>
      <c r="F45" s="75"/>
      <c r="G45" s="76"/>
    </row>
    <row r="46" spans="1:7" x14ac:dyDescent="0.25">
      <c r="A46" s="10">
        <v>41</v>
      </c>
      <c r="B46" s="5"/>
      <c r="C46" s="5"/>
      <c r="D46" s="5"/>
      <c r="E46" s="5"/>
      <c r="F46" s="75"/>
      <c r="G46" s="76"/>
    </row>
    <row r="47" spans="1:7" x14ac:dyDescent="0.25">
      <c r="A47" s="10">
        <v>42</v>
      </c>
      <c r="B47" s="5"/>
      <c r="C47" s="5"/>
      <c r="D47" s="5"/>
      <c r="E47" s="5"/>
      <c r="F47" s="75"/>
      <c r="G47" s="76"/>
    </row>
    <row r="48" spans="1:7" x14ac:dyDescent="0.25">
      <c r="A48" s="10">
        <v>43</v>
      </c>
      <c r="B48" s="5"/>
      <c r="C48" s="5"/>
      <c r="D48" s="5"/>
      <c r="E48" s="5"/>
      <c r="F48" s="75"/>
      <c r="G48" s="76"/>
    </row>
    <row r="49" spans="1:7" x14ac:dyDescent="0.25">
      <c r="A49" s="10">
        <v>44</v>
      </c>
      <c r="B49" s="5"/>
      <c r="C49" s="5"/>
      <c r="D49" s="5"/>
      <c r="E49" s="5"/>
      <c r="F49" s="75"/>
      <c r="G49" s="76"/>
    </row>
    <row r="50" spans="1:7" x14ac:dyDescent="0.25">
      <c r="A50" s="10">
        <v>45</v>
      </c>
      <c r="B50" s="5"/>
      <c r="C50" s="5"/>
      <c r="D50" s="5"/>
      <c r="E50" s="5"/>
      <c r="F50" s="75"/>
      <c r="G50" s="76"/>
    </row>
    <row r="51" spans="1:7" x14ac:dyDescent="0.25">
      <c r="A51" s="10">
        <v>46</v>
      </c>
      <c r="B51" s="5"/>
      <c r="C51" s="5"/>
      <c r="D51" s="5"/>
      <c r="E51" s="5"/>
      <c r="F51" s="75"/>
      <c r="G51" s="76"/>
    </row>
    <row r="52" spans="1:7" x14ac:dyDescent="0.25">
      <c r="A52" s="10">
        <v>47</v>
      </c>
      <c r="B52" s="5"/>
      <c r="C52" s="5"/>
      <c r="D52" s="5"/>
      <c r="E52" s="5"/>
      <c r="F52" s="75"/>
      <c r="G52" s="76"/>
    </row>
    <row r="53" spans="1:7" x14ac:dyDescent="0.25">
      <c r="A53" s="10">
        <v>48</v>
      </c>
      <c r="B53" s="5"/>
      <c r="C53" s="5"/>
      <c r="D53" s="5"/>
      <c r="E53" s="5"/>
      <c r="F53" s="75"/>
      <c r="G53" s="76"/>
    </row>
    <row r="54" spans="1:7" x14ac:dyDescent="0.25">
      <c r="A54" s="10">
        <v>49</v>
      </c>
      <c r="B54" s="5"/>
      <c r="C54" s="5"/>
      <c r="D54" s="5"/>
      <c r="E54" s="5"/>
      <c r="F54" s="75"/>
      <c r="G54" s="76"/>
    </row>
    <row r="55" spans="1:7" x14ac:dyDescent="0.25">
      <c r="A55" s="10">
        <v>50</v>
      </c>
      <c r="B55" s="5"/>
      <c r="C55" s="5"/>
      <c r="D55" s="5"/>
      <c r="E55" s="5"/>
      <c r="F55" s="75"/>
      <c r="G55" s="76"/>
    </row>
    <row r="56" spans="1:7" x14ac:dyDescent="0.25">
      <c r="A56" s="10">
        <v>51</v>
      </c>
      <c r="B56" s="5"/>
      <c r="C56" s="5"/>
      <c r="D56" s="5"/>
      <c r="E56" s="5"/>
      <c r="F56" s="75"/>
      <c r="G56" s="76"/>
    </row>
    <row r="57" spans="1:7" x14ac:dyDescent="0.25">
      <c r="A57" s="10">
        <v>52</v>
      </c>
      <c r="B57" s="5"/>
      <c r="C57" s="5"/>
      <c r="D57" s="5"/>
      <c r="E57" s="5"/>
      <c r="F57" s="75"/>
      <c r="G57" s="76"/>
    </row>
    <row r="58" spans="1:7" x14ac:dyDescent="0.25">
      <c r="A58" s="10">
        <v>53</v>
      </c>
      <c r="B58" s="5"/>
      <c r="C58" s="5"/>
      <c r="D58" s="5"/>
      <c r="E58" s="5"/>
      <c r="F58" s="75"/>
      <c r="G58" s="76"/>
    </row>
    <row r="59" spans="1:7" x14ac:dyDescent="0.25">
      <c r="A59" s="10">
        <v>54</v>
      </c>
      <c r="B59" s="5"/>
      <c r="C59" s="5"/>
      <c r="D59" s="5"/>
      <c r="E59" s="5"/>
      <c r="F59" s="75"/>
      <c r="G59" s="76"/>
    </row>
    <row r="60" spans="1:7" x14ac:dyDescent="0.25">
      <c r="A60" s="10">
        <v>55</v>
      </c>
      <c r="B60" s="5"/>
      <c r="C60" s="5"/>
      <c r="D60" s="5"/>
      <c r="E60" s="5"/>
      <c r="F60" s="75"/>
      <c r="G60" s="76"/>
    </row>
    <row r="61" spans="1:7" x14ac:dyDescent="0.25">
      <c r="A61" s="10">
        <v>56</v>
      </c>
      <c r="B61" s="5"/>
      <c r="C61" s="5"/>
      <c r="D61" s="5"/>
      <c r="E61" s="5"/>
      <c r="F61" s="75"/>
      <c r="G61" s="76"/>
    </row>
    <row r="62" spans="1:7" x14ac:dyDescent="0.25">
      <c r="A62" s="10">
        <v>57</v>
      </c>
      <c r="B62" s="5"/>
      <c r="C62" s="5"/>
      <c r="D62" s="5"/>
      <c r="E62" s="5"/>
      <c r="F62" s="75"/>
      <c r="G62" s="76"/>
    </row>
    <row r="63" spans="1:7" x14ac:dyDescent="0.25">
      <c r="A63" s="10">
        <v>58</v>
      </c>
      <c r="B63" s="5"/>
      <c r="C63" s="5"/>
      <c r="D63" s="5"/>
      <c r="E63" s="5"/>
      <c r="F63" s="75"/>
      <c r="G63" s="76"/>
    </row>
    <row r="64" spans="1:7" x14ac:dyDescent="0.25">
      <c r="A64" s="10">
        <v>59</v>
      </c>
      <c r="B64" s="5"/>
      <c r="C64" s="5"/>
      <c r="D64" s="5"/>
      <c r="E64" s="5"/>
      <c r="F64" s="75"/>
      <c r="G64" s="76"/>
    </row>
    <row r="65" spans="1:7" x14ac:dyDescent="0.25">
      <c r="A65" s="10">
        <v>60</v>
      </c>
      <c r="B65" s="5"/>
      <c r="C65" s="5"/>
      <c r="D65" s="5"/>
      <c r="E65" s="5"/>
      <c r="F65" s="75"/>
      <c r="G65" s="76"/>
    </row>
    <row r="66" spans="1:7" x14ac:dyDescent="0.25">
      <c r="A66" s="10">
        <v>61</v>
      </c>
      <c r="B66" s="5"/>
      <c r="C66" s="5"/>
      <c r="D66" s="5"/>
      <c r="E66" s="5"/>
      <c r="F66" s="75"/>
      <c r="G66" s="76"/>
    </row>
    <row r="67" spans="1:7" x14ac:dyDescent="0.25">
      <c r="A67" s="10">
        <v>62</v>
      </c>
      <c r="B67" s="5"/>
      <c r="C67" s="5"/>
      <c r="D67" s="5"/>
      <c r="E67" s="5"/>
      <c r="F67" s="75"/>
      <c r="G67" s="76"/>
    </row>
    <row r="68" spans="1:7" x14ac:dyDescent="0.25">
      <c r="A68" s="10">
        <v>63</v>
      </c>
      <c r="B68" s="5"/>
      <c r="C68" s="5"/>
      <c r="D68" s="5"/>
      <c r="E68" s="5"/>
      <c r="F68" s="75"/>
      <c r="G68" s="76"/>
    </row>
    <row r="69" spans="1:7" x14ac:dyDescent="0.25">
      <c r="A69" s="10">
        <v>64</v>
      </c>
      <c r="B69" s="5"/>
      <c r="C69" s="5"/>
      <c r="D69" s="5"/>
      <c r="E69" s="5"/>
      <c r="F69" s="75"/>
      <c r="G69" s="76"/>
    </row>
    <row r="70" spans="1:7" x14ac:dyDescent="0.25">
      <c r="A70" s="10">
        <v>65</v>
      </c>
      <c r="B70" s="5"/>
      <c r="C70" s="5"/>
      <c r="D70" s="5"/>
      <c r="E70" s="5"/>
      <c r="F70" s="75"/>
      <c r="G70" s="76"/>
    </row>
    <row r="71" spans="1:7" x14ac:dyDescent="0.25">
      <c r="A71" s="10">
        <v>66</v>
      </c>
      <c r="B71" s="5"/>
      <c r="C71" s="5"/>
      <c r="D71" s="5"/>
      <c r="E71" s="5"/>
      <c r="F71" s="75"/>
      <c r="G71" s="76"/>
    </row>
    <row r="72" spans="1:7" x14ac:dyDescent="0.25">
      <c r="A72" s="10">
        <v>67</v>
      </c>
      <c r="B72" s="5"/>
      <c r="C72" s="5"/>
      <c r="D72" s="5"/>
      <c r="E72" s="5"/>
      <c r="F72" s="75"/>
      <c r="G72" s="76"/>
    </row>
    <row r="73" spans="1:7" x14ac:dyDescent="0.25">
      <c r="A73" s="10">
        <v>68</v>
      </c>
      <c r="B73" s="5"/>
      <c r="C73" s="5"/>
      <c r="D73" s="5"/>
      <c r="E73" s="5"/>
      <c r="F73" s="75"/>
      <c r="G73" s="76"/>
    </row>
    <row r="74" spans="1:7" x14ac:dyDescent="0.25">
      <c r="A74" s="10">
        <v>69</v>
      </c>
      <c r="B74" s="5"/>
      <c r="C74" s="5"/>
      <c r="D74" s="5"/>
      <c r="E74" s="5"/>
      <c r="F74" s="75"/>
      <c r="G74" s="76"/>
    </row>
    <row r="75" spans="1:7" x14ac:dyDescent="0.25">
      <c r="A75" s="10">
        <v>70</v>
      </c>
      <c r="B75" s="5"/>
      <c r="C75" s="5"/>
      <c r="D75" s="5"/>
      <c r="E75" s="5"/>
      <c r="F75" s="75"/>
      <c r="G75" s="76"/>
    </row>
    <row r="76" spans="1:7" x14ac:dyDescent="0.25">
      <c r="A76" s="10">
        <v>71</v>
      </c>
      <c r="B76" s="5"/>
      <c r="C76" s="5"/>
      <c r="D76" s="5"/>
      <c r="E76" s="5"/>
      <c r="F76" s="75"/>
      <c r="G76" s="76"/>
    </row>
    <row r="77" spans="1:7" x14ac:dyDescent="0.25">
      <c r="A77" s="10">
        <v>72</v>
      </c>
      <c r="B77" s="5"/>
      <c r="C77" s="5"/>
      <c r="D77" s="5"/>
      <c r="E77" s="5"/>
      <c r="F77" s="75"/>
      <c r="G77" s="76"/>
    </row>
    <row r="78" spans="1:7" x14ac:dyDescent="0.25">
      <c r="A78" s="10">
        <v>73</v>
      </c>
      <c r="B78" s="5"/>
      <c r="C78" s="5"/>
      <c r="D78" s="5"/>
      <c r="E78" s="5"/>
      <c r="F78" s="75"/>
      <c r="G78" s="76"/>
    </row>
    <row r="79" spans="1:7" x14ac:dyDescent="0.25">
      <c r="A79" s="10">
        <v>74</v>
      </c>
      <c r="B79" s="5"/>
      <c r="C79" s="5"/>
      <c r="D79" s="5"/>
      <c r="E79" s="5"/>
      <c r="F79" s="75"/>
      <c r="G79" s="76"/>
    </row>
    <row r="80" spans="1:7" x14ac:dyDescent="0.25">
      <c r="A80" s="10">
        <v>75</v>
      </c>
      <c r="B80" s="5"/>
      <c r="C80" s="5"/>
      <c r="D80" s="5"/>
      <c r="E80" s="5"/>
      <c r="F80" s="75"/>
      <c r="G80" s="76"/>
    </row>
    <row r="81" spans="1:7" x14ac:dyDescent="0.25">
      <c r="A81" s="10">
        <v>76</v>
      </c>
      <c r="B81" s="5"/>
      <c r="C81" s="5"/>
      <c r="D81" s="5"/>
      <c r="E81" s="5"/>
      <c r="F81" s="75"/>
      <c r="G81" s="76"/>
    </row>
    <row r="82" spans="1:7" x14ac:dyDescent="0.25">
      <c r="A82" s="10">
        <v>77</v>
      </c>
      <c r="B82" s="5"/>
      <c r="C82" s="5"/>
      <c r="D82" s="5"/>
      <c r="E82" s="5"/>
      <c r="F82" s="75"/>
      <c r="G82" s="76"/>
    </row>
    <row r="83" spans="1:7" x14ac:dyDescent="0.25">
      <c r="A83" s="10">
        <v>78</v>
      </c>
      <c r="B83" s="5"/>
      <c r="C83" s="5"/>
      <c r="D83" s="5"/>
      <c r="E83" s="5"/>
      <c r="F83" s="75"/>
      <c r="G83" s="76"/>
    </row>
    <row r="84" spans="1:7" x14ac:dyDescent="0.25">
      <c r="A84" s="10">
        <v>79</v>
      </c>
      <c r="B84" s="5"/>
      <c r="C84" s="5"/>
      <c r="D84" s="5"/>
      <c r="E84" s="5"/>
      <c r="F84" s="75"/>
      <c r="G84" s="76"/>
    </row>
    <row r="85" spans="1:7" x14ac:dyDescent="0.25">
      <c r="A85" s="10">
        <v>80</v>
      </c>
      <c r="B85" s="5"/>
      <c r="C85" s="5"/>
      <c r="D85" s="5"/>
      <c r="E85" s="5"/>
      <c r="F85" s="75"/>
      <c r="G85" s="76"/>
    </row>
    <row r="86" spans="1:7" x14ac:dyDescent="0.25">
      <c r="A86" s="10">
        <v>81</v>
      </c>
      <c r="B86" s="5"/>
      <c r="C86" s="5"/>
      <c r="D86" s="5"/>
      <c r="E86" s="5"/>
      <c r="F86" s="75"/>
      <c r="G86" s="76"/>
    </row>
    <row r="87" spans="1:7" x14ac:dyDescent="0.25">
      <c r="A87" s="10">
        <v>82</v>
      </c>
      <c r="B87" s="5"/>
      <c r="C87" s="5"/>
      <c r="D87" s="5"/>
      <c r="E87" s="5"/>
      <c r="F87" s="75"/>
      <c r="G87" s="76"/>
    </row>
    <row r="88" spans="1:7" x14ac:dyDescent="0.25">
      <c r="A88" s="10">
        <v>83</v>
      </c>
      <c r="B88" s="5"/>
      <c r="C88" s="5"/>
      <c r="D88" s="5"/>
      <c r="E88" s="5"/>
      <c r="F88" s="75"/>
      <c r="G88" s="76"/>
    </row>
    <row r="89" spans="1:7" x14ac:dyDescent="0.25">
      <c r="A89" s="10">
        <v>84</v>
      </c>
      <c r="B89" s="5"/>
      <c r="C89" s="5"/>
      <c r="D89" s="5"/>
      <c r="E89" s="5"/>
      <c r="F89" s="75"/>
      <c r="G89" s="76"/>
    </row>
    <row r="90" spans="1:7" x14ac:dyDescent="0.25">
      <c r="A90" s="10">
        <v>85</v>
      </c>
      <c r="B90" s="5"/>
      <c r="C90" s="5"/>
      <c r="D90" s="5"/>
      <c r="E90" s="5"/>
      <c r="F90" s="75"/>
      <c r="G90" s="76"/>
    </row>
    <row r="91" spans="1:7" x14ac:dyDescent="0.25">
      <c r="A91" s="10">
        <v>86</v>
      </c>
      <c r="B91" s="5"/>
      <c r="C91" s="5"/>
      <c r="D91" s="5"/>
      <c r="E91" s="5"/>
      <c r="F91" s="75"/>
      <c r="G91" s="76"/>
    </row>
    <row r="92" spans="1:7" x14ac:dyDescent="0.25">
      <c r="A92" s="10">
        <v>87</v>
      </c>
      <c r="B92" s="5"/>
      <c r="C92" s="5"/>
      <c r="D92" s="5"/>
      <c r="E92" s="5"/>
      <c r="F92" s="75"/>
      <c r="G92" s="76"/>
    </row>
    <row r="93" spans="1:7" x14ac:dyDescent="0.25">
      <c r="A93" s="10">
        <v>88</v>
      </c>
      <c r="B93" s="5"/>
      <c r="C93" s="5"/>
      <c r="D93" s="5"/>
      <c r="E93" s="5"/>
      <c r="F93" s="75"/>
      <c r="G93" s="76"/>
    </row>
    <row r="94" spans="1:7" x14ac:dyDescent="0.25">
      <c r="A94" s="10">
        <v>89</v>
      </c>
      <c r="B94" s="5"/>
      <c r="C94" s="5"/>
      <c r="D94" s="5"/>
      <c r="E94" s="5"/>
      <c r="F94" s="75"/>
      <c r="G94" s="76"/>
    </row>
    <row r="95" spans="1:7" x14ac:dyDescent="0.25">
      <c r="A95" s="10">
        <v>90</v>
      </c>
      <c r="B95" s="5"/>
      <c r="C95" s="5"/>
      <c r="D95" s="5"/>
      <c r="E95" s="5"/>
      <c r="F95" s="75"/>
      <c r="G95" s="76"/>
    </row>
    <row r="96" spans="1:7" x14ac:dyDescent="0.25">
      <c r="A96" s="10">
        <v>91</v>
      </c>
      <c r="B96" s="5"/>
      <c r="C96" s="5"/>
      <c r="D96" s="5"/>
      <c r="E96" s="5"/>
      <c r="F96" s="75"/>
      <c r="G96" s="76"/>
    </row>
    <row r="97" spans="1:7" x14ac:dyDescent="0.25">
      <c r="A97" s="10">
        <v>92</v>
      </c>
      <c r="B97" s="5"/>
      <c r="C97" s="5"/>
      <c r="D97" s="5"/>
      <c r="E97" s="5"/>
      <c r="F97" s="75"/>
      <c r="G97" s="76"/>
    </row>
    <row r="98" spans="1:7" x14ac:dyDescent="0.25">
      <c r="A98" s="10">
        <v>93</v>
      </c>
      <c r="B98" s="5"/>
      <c r="C98" s="5"/>
      <c r="D98" s="5"/>
      <c r="E98" s="5"/>
      <c r="F98" s="75"/>
      <c r="G98" s="76"/>
    </row>
    <row r="99" spans="1:7" x14ac:dyDescent="0.25">
      <c r="A99" s="10">
        <v>94</v>
      </c>
      <c r="B99" s="5"/>
      <c r="C99" s="5"/>
      <c r="D99" s="5"/>
      <c r="E99" s="5"/>
      <c r="F99" s="75"/>
      <c r="G99" s="76"/>
    </row>
    <row r="100" spans="1:7" x14ac:dyDescent="0.25">
      <c r="A100" s="10">
        <v>95</v>
      </c>
      <c r="B100" s="5"/>
      <c r="C100" s="5"/>
      <c r="D100" s="5"/>
      <c r="E100" s="5"/>
      <c r="F100" s="75"/>
      <c r="G100" s="76"/>
    </row>
    <row r="101" spans="1:7" x14ac:dyDescent="0.25">
      <c r="A101" s="10">
        <v>96</v>
      </c>
      <c r="B101" s="5"/>
      <c r="C101" s="5"/>
      <c r="D101" s="5"/>
      <c r="E101" s="5"/>
      <c r="F101" s="75"/>
      <c r="G101" s="76"/>
    </row>
    <row r="102" spans="1:7" x14ac:dyDescent="0.25">
      <c r="A102" s="10">
        <v>97</v>
      </c>
      <c r="B102" s="5"/>
      <c r="C102" s="5"/>
      <c r="D102" s="5"/>
      <c r="E102" s="5"/>
      <c r="F102" s="75"/>
      <c r="G102" s="76"/>
    </row>
    <row r="103" spans="1:7" x14ac:dyDescent="0.25">
      <c r="A103" s="10">
        <v>98</v>
      </c>
      <c r="B103" s="5"/>
      <c r="C103" s="5"/>
      <c r="D103" s="5"/>
      <c r="E103" s="5"/>
      <c r="F103" s="75"/>
      <c r="G103" s="76"/>
    </row>
    <row r="104" spans="1:7" x14ac:dyDescent="0.25">
      <c r="A104" s="10">
        <v>99</v>
      </c>
      <c r="B104" s="5"/>
      <c r="C104" s="5"/>
      <c r="D104" s="5"/>
      <c r="E104" s="5"/>
      <c r="F104" s="75"/>
      <c r="G104" s="76"/>
    </row>
    <row r="105" spans="1:7" x14ac:dyDescent="0.25">
      <c r="A105" s="10">
        <v>100</v>
      </c>
      <c r="B105" s="5"/>
      <c r="C105" s="5"/>
      <c r="D105" s="5"/>
      <c r="E105" s="5"/>
      <c r="F105" s="75"/>
      <c r="G105" s="76"/>
    </row>
    <row r="106" spans="1:7" x14ac:dyDescent="0.25">
      <c r="A106" s="10">
        <v>101</v>
      </c>
      <c r="B106" s="5"/>
      <c r="C106" s="5"/>
      <c r="D106" s="5"/>
      <c r="E106" s="5"/>
      <c r="F106" s="75"/>
      <c r="G106" s="76"/>
    </row>
    <row r="107" spans="1:7" x14ac:dyDescent="0.25">
      <c r="A107" s="10">
        <v>102</v>
      </c>
      <c r="B107" s="5"/>
      <c r="C107" s="5"/>
      <c r="D107" s="5"/>
      <c r="E107" s="5"/>
      <c r="F107" s="75"/>
      <c r="G107" s="76"/>
    </row>
    <row r="108" spans="1:7" x14ac:dyDescent="0.25">
      <c r="A108" s="10">
        <v>103</v>
      </c>
      <c r="B108" s="5"/>
      <c r="C108" s="5"/>
      <c r="D108" s="5"/>
      <c r="E108" s="5"/>
      <c r="F108" s="75"/>
      <c r="G108" s="76"/>
    </row>
    <row r="109" spans="1:7" x14ac:dyDescent="0.25">
      <c r="A109" s="10">
        <v>104</v>
      </c>
      <c r="B109" s="5"/>
      <c r="C109" s="5"/>
      <c r="D109" s="5"/>
      <c r="E109" s="5"/>
      <c r="F109" s="75"/>
      <c r="G109" s="76"/>
    </row>
    <row r="110" spans="1:7" x14ac:dyDescent="0.25">
      <c r="A110" s="10">
        <v>105</v>
      </c>
      <c r="B110" s="5"/>
      <c r="C110" s="5"/>
      <c r="D110" s="5"/>
      <c r="E110" s="5"/>
      <c r="F110" s="75"/>
      <c r="G110" s="76"/>
    </row>
    <row r="111" spans="1:7" x14ac:dyDescent="0.25">
      <c r="A111" s="10">
        <v>106</v>
      </c>
      <c r="B111" s="5"/>
      <c r="C111" s="5"/>
      <c r="D111" s="5"/>
      <c r="E111" s="5"/>
      <c r="F111" s="75"/>
      <c r="G111" s="76"/>
    </row>
    <row r="112" spans="1:7" x14ac:dyDescent="0.25">
      <c r="A112" s="10">
        <v>107</v>
      </c>
      <c r="B112" s="5"/>
      <c r="C112" s="5"/>
      <c r="D112" s="5"/>
      <c r="E112" s="5"/>
      <c r="F112" s="75"/>
      <c r="G112" s="76"/>
    </row>
    <row r="113" spans="1:7" x14ac:dyDescent="0.25">
      <c r="A113" s="10">
        <v>108</v>
      </c>
      <c r="B113" s="5"/>
      <c r="C113" s="5"/>
      <c r="D113" s="5"/>
      <c r="E113" s="5"/>
      <c r="F113" s="75"/>
      <c r="G113" s="76"/>
    </row>
    <row r="114" spans="1:7" x14ac:dyDescent="0.25">
      <c r="A114" s="10">
        <v>109</v>
      </c>
      <c r="B114" s="5"/>
      <c r="C114" s="5"/>
      <c r="D114" s="5"/>
      <c r="E114" s="5"/>
      <c r="F114" s="75"/>
      <c r="G114" s="76"/>
    </row>
    <row r="115" spans="1:7" x14ac:dyDescent="0.25">
      <c r="A115" s="10">
        <v>110</v>
      </c>
      <c r="B115" s="5"/>
      <c r="C115" s="5"/>
      <c r="D115" s="5"/>
      <c r="E115" s="5"/>
      <c r="F115" s="75"/>
      <c r="G115" s="76"/>
    </row>
    <row r="116" spans="1:7" x14ac:dyDescent="0.25">
      <c r="A116" s="10">
        <v>111</v>
      </c>
      <c r="B116" s="5"/>
      <c r="C116" s="5"/>
      <c r="D116" s="5"/>
      <c r="E116" s="5"/>
      <c r="F116" s="75"/>
      <c r="G116" s="76"/>
    </row>
    <row r="117" spans="1:7" x14ac:dyDescent="0.25">
      <c r="A117" s="10">
        <v>112</v>
      </c>
      <c r="B117" s="5"/>
      <c r="C117" s="5"/>
      <c r="D117" s="5"/>
      <c r="E117" s="5"/>
      <c r="F117" s="75"/>
      <c r="G117" s="76"/>
    </row>
    <row r="118" spans="1:7" x14ac:dyDescent="0.25">
      <c r="A118" s="10">
        <v>113</v>
      </c>
      <c r="B118" s="5"/>
      <c r="C118" s="5"/>
      <c r="D118" s="5"/>
      <c r="E118" s="5"/>
      <c r="F118" s="75"/>
      <c r="G118" s="76"/>
    </row>
    <row r="119" spans="1:7" x14ac:dyDescent="0.25">
      <c r="A119" s="10">
        <v>114</v>
      </c>
      <c r="B119" s="5"/>
      <c r="C119" s="5"/>
      <c r="D119" s="5"/>
      <c r="E119" s="5"/>
      <c r="F119" s="75"/>
      <c r="G119" s="76"/>
    </row>
    <row r="120" spans="1:7" x14ac:dyDescent="0.25">
      <c r="A120" s="10">
        <v>115</v>
      </c>
      <c r="B120" s="5"/>
      <c r="C120" s="5"/>
      <c r="D120" s="5"/>
      <c r="E120" s="5"/>
      <c r="F120" s="75"/>
      <c r="G120" s="76"/>
    </row>
    <row r="121" spans="1:7" x14ac:dyDescent="0.25">
      <c r="A121" s="10">
        <v>116</v>
      </c>
      <c r="B121" s="5"/>
      <c r="C121" s="5"/>
      <c r="D121" s="5"/>
      <c r="E121" s="5"/>
      <c r="F121" s="75"/>
      <c r="G121" s="76"/>
    </row>
    <row r="122" spans="1:7" x14ac:dyDescent="0.25">
      <c r="A122" s="10">
        <v>117</v>
      </c>
      <c r="B122" s="5"/>
      <c r="C122" s="5"/>
      <c r="D122" s="5"/>
      <c r="E122" s="5"/>
      <c r="F122" s="75"/>
      <c r="G122" s="76"/>
    </row>
    <row r="123" spans="1:7" x14ac:dyDescent="0.25">
      <c r="A123" s="10">
        <v>118</v>
      </c>
      <c r="B123" s="5"/>
      <c r="C123" s="5"/>
      <c r="D123" s="5"/>
      <c r="E123" s="5"/>
      <c r="F123" s="75"/>
      <c r="G123" s="76"/>
    </row>
    <row r="124" spans="1:7" x14ac:dyDescent="0.25">
      <c r="A124" s="10">
        <v>119</v>
      </c>
      <c r="B124" s="5"/>
      <c r="C124" s="5"/>
      <c r="D124" s="5"/>
      <c r="E124" s="5"/>
      <c r="F124" s="75"/>
      <c r="G124" s="76"/>
    </row>
    <row r="125" spans="1:7" x14ac:dyDescent="0.25">
      <c r="A125" s="10">
        <v>120</v>
      </c>
      <c r="B125" s="5"/>
      <c r="C125" s="5"/>
      <c r="D125" s="5"/>
      <c r="E125" s="5"/>
      <c r="F125" s="75"/>
      <c r="G125" s="76"/>
    </row>
    <row r="126" spans="1:7" x14ac:dyDescent="0.25">
      <c r="A126" s="10">
        <v>121</v>
      </c>
      <c r="B126" s="5"/>
      <c r="C126" s="5"/>
      <c r="D126" s="5"/>
      <c r="E126" s="5"/>
      <c r="F126" s="75"/>
      <c r="G126" s="76"/>
    </row>
    <row r="127" spans="1:7" x14ac:dyDescent="0.25">
      <c r="A127" s="10">
        <v>122</v>
      </c>
      <c r="B127" s="5"/>
      <c r="C127" s="5"/>
      <c r="D127" s="5"/>
      <c r="E127" s="5"/>
      <c r="F127" s="75"/>
      <c r="G127" s="76"/>
    </row>
    <row r="128" spans="1:7" x14ac:dyDescent="0.25">
      <c r="A128" s="10">
        <v>123</v>
      </c>
      <c r="B128" s="5"/>
      <c r="C128" s="5"/>
      <c r="D128" s="5"/>
      <c r="E128" s="5"/>
      <c r="F128" s="75"/>
      <c r="G128" s="76"/>
    </row>
    <row r="129" spans="1:7" x14ac:dyDescent="0.25">
      <c r="A129" s="10">
        <v>124</v>
      </c>
      <c r="B129" s="5"/>
      <c r="C129" s="5"/>
      <c r="D129" s="5"/>
      <c r="E129" s="5"/>
      <c r="F129" s="75"/>
      <c r="G129" s="76"/>
    </row>
    <row r="130" spans="1:7" x14ac:dyDescent="0.25">
      <c r="A130" s="10">
        <v>125</v>
      </c>
      <c r="B130" s="5"/>
      <c r="C130" s="5"/>
      <c r="D130" s="5"/>
      <c r="E130" s="5"/>
      <c r="F130" s="75"/>
      <c r="G130" s="76"/>
    </row>
    <row r="131" spans="1:7" x14ac:dyDescent="0.25">
      <c r="A131" s="10">
        <v>126</v>
      </c>
      <c r="B131" s="5"/>
      <c r="C131" s="5"/>
      <c r="D131" s="5"/>
      <c r="E131" s="5"/>
      <c r="F131" s="75"/>
      <c r="G131" s="76"/>
    </row>
    <row r="132" spans="1:7" x14ac:dyDescent="0.25">
      <c r="A132" s="10">
        <v>127</v>
      </c>
      <c r="B132" s="5"/>
      <c r="C132" s="5"/>
      <c r="D132" s="5"/>
      <c r="E132" s="5"/>
      <c r="F132" s="75"/>
      <c r="G132" s="76"/>
    </row>
    <row r="133" spans="1:7" x14ac:dyDescent="0.25">
      <c r="A133" s="10">
        <v>128</v>
      </c>
      <c r="B133" s="5"/>
      <c r="C133" s="5"/>
      <c r="D133" s="5"/>
      <c r="E133" s="5"/>
      <c r="F133" s="75"/>
      <c r="G133" s="76"/>
    </row>
    <row r="134" spans="1:7" x14ac:dyDescent="0.25">
      <c r="A134" s="10">
        <v>129</v>
      </c>
      <c r="B134" s="5"/>
      <c r="C134" s="5"/>
      <c r="D134" s="5"/>
      <c r="E134" s="5"/>
      <c r="F134" s="75"/>
      <c r="G134" s="76"/>
    </row>
    <row r="135" spans="1:7" x14ac:dyDescent="0.25">
      <c r="A135" s="10">
        <v>130</v>
      </c>
      <c r="B135" s="5"/>
      <c r="C135" s="5"/>
      <c r="D135" s="5"/>
      <c r="E135" s="5"/>
      <c r="F135" s="75"/>
      <c r="G135" s="76"/>
    </row>
    <row r="136" spans="1:7" x14ac:dyDescent="0.25">
      <c r="A136" s="10">
        <v>131</v>
      </c>
      <c r="B136" s="5"/>
      <c r="C136" s="5"/>
      <c r="D136" s="5"/>
      <c r="E136" s="5"/>
      <c r="F136" s="75"/>
      <c r="G136" s="76"/>
    </row>
    <row r="137" spans="1:7" x14ac:dyDescent="0.25">
      <c r="A137" s="10">
        <v>132</v>
      </c>
      <c r="B137" s="5"/>
      <c r="C137" s="5"/>
      <c r="D137" s="5"/>
      <c r="E137" s="5"/>
      <c r="F137" s="75"/>
      <c r="G137" s="76"/>
    </row>
    <row r="138" spans="1:7" x14ac:dyDescent="0.25">
      <c r="A138" s="10">
        <v>133</v>
      </c>
      <c r="B138" s="5"/>
      <c r="C138" s="5"/>
      <c r="D138" s="5"/>
      <c r="E138" s="5"/>
      <c r="F138" s="75"/>
      <c r="G138" s="76"/>
    </row>
    <row r="139" spans="1:7" x14ac:dyDescent="0.25">
      <c r="A139" s="10">
        <v>134</v>
      </c>
      <c r="B139" s="5"/>
      <c r="C139" s="5"/>
      <c r="D139" s="5"/>
      <c r="E139" s="5"/>
      <c r="F139" s="75"/>
      <c r="G139" s="76"/>
    </row>
    <row r="140" spans="1:7" x14ac:dyDescent="0.25">
      <c r="A140" s="10">
        <v>135</v>
      </c>
      <c r="B140" s="5"/>
      <c r="C140" s="5"/>
      <c r="D140" s="5"/>
      <c r="E140" s="5"/>
      <c r="F140" s="75"/>
      <c r="G140" s="76"/>
    </row>
    <row r="141" spans="1:7" x14ac:dyDescent="0.25">
      <c r="A141" s="10">
        <v>136</v>
      </c>
      <c r="B141" s="5"/>
      <c r="C141" s="5"/>
      <c r="D141" s="5"/>
      <c r="E141" s="5"/>
      <c r="F141" s="75"/>
      <c r="G141" s="76"/>
    </row>
    <row r="142" spans="1:7" x14ac:dyDescent="0.25">
      <c r="A142" s="10">
        <v>137</v>
      </c>
      <c r="B142" s="5"/>
      <c r="C142" s="5"/>
      <c r="D142" s="5"/>
      <c r="E142" s="5"/>
      <c r="F142" s="75"/>
      <c r="G142" s="76"/>
    </row>
    <row r="143" spans="1:7" x14ac:dyDescent="0.25">
      <c r="A143" s="10">
        <v>138</v>
      </c>
      <c r="B143" s="5"/>
      <c r="C143" s="5"/>
      <c r="D143" s="5"/>
      <c r="E143" s="5"/>
      <c r="F143" s="75"/>
      <c r="G143" s="76"/>
    </row>
    <row r="144" spans="1:7" x14ac:dyDescent="0.25">
      <c r="A144" s="10">
        <v>139</v>
      </c>
      <c r="B144" s="5"/>
      <c r="C144" s="5"/>
      <c r="D144" s="5"/>
      <c r="E144" s="5"/>
      <c r="F144" s="75"/>
      <c r="G144" s="76"/>
    </row>
    <row r="145" spans="1:7" x14ac:dyDescent="0.25">
      <c r="A145" s="10">
        <v>140</v>
      </c>
      <c r="B145" s="5"/>
      <c r="C145" s="5"/>
      <c r="D145" s="5"/>
      <c r="E145" s="5"/>
      <c r="F145" s="75"/>
      <c r="G145" s="76"/>
    </row>
    <row r="146" spans="1:7" x14ac:dyDescent="0.25">
      <c r="A146" s="10">
        <v>141</v>
      </c>
      <c r="B146" s="5"/>
      <c r="C146" s="5"/>
      <c r="D146" s="5"/>
      <c r="E146" s="5"/>
      <c r="F146" s="75"/>
      <c r="G146" s="76"/>
    </row>
    <row r="147" spans="1:7" x14ac:dyDescent="0.25">
      <c r="A147" s="10">
        <v>142</v>
      </c>
      <c r="B147" s="5"/>
      <c r="C147" s="5"/>
      <c r="D147" s="5"/>
      <c r="E147" s="5"/>
      <c r="F147" s="75"/>
      <c r="G147" s="76"/>
    </row>
    <row r="148" spans="1:7" x14ac:dyDescent="0.25">
      <c r="A148" s="10">
        <v>143</v>
      </c>
      <c r="B148" s="5"/>
      <c r="C148" s="5"/>
      <c r="D148" s="5"/>
      <c r="E148" s="5"/>
      <c r="F148" s="75"/>
      <c r="G148" s="76"/>
    </row>
    <row r="149" spans="1:7" x14ac:dyDescent="0.25">
      <c r="A149" s="10">
        <v>144</v>
      </c>
      <c r="B149" s="5"/>
      <c r="C149" s="5"/>
      <c r="D149" s="5"/>
      <c r="E149" s="5"/>
      <c r="F149" s="75"/>
      <c r="G149" s="76"/>
    </row>
    <row r="150" spans="1:7" x14ac:dyDescent="0.25">
      <c r="A150" s="10">
        <v>145</v>
      </c>
      <c r="B150" s="5"/>
      <c r="C150" s="5"/>
      <c r="D150" s="5"/>
      <c r="E150" s="5"/>
      <c r="F150" s="75"/>
      <c r="G150" s="76"/>
    </row>
    <row r="151" spans="1:7" x14ac:dyDescent="0.25">
      <c r="A151" s="10">
        <v>146</v>
      </c>
      <c r="B151" s="5"/>
      <c r="C151" s="5"/>
      <c r="D151" s="5"/>
      <c r="E151" s="5"/>
      <c r="F151" s="75"/>
      <c r="G151" s="76"/>
    </row>
    <row r="152" spans="1:7" x14ac:dyDescent="0.25">
      <c r="A152" s="10">
        <v>147</v>
      </c>
      <c r="B152" s="5"/>
      <c r="C152" s="5"/>
      <c r="D152" s="5"/>
      <c r="E152" s="5"/>
      <c r="F152" s="75"/>
      <c r="G152" s="76"/>
    </row>
    <row r="153" spans="1:7" x14ac:dyDescent="0.25">
      <c r="A153" s="10">
        <v>148</v>
      </c>
      <c r="B153" s="5"/>
      <c r="C153" s="5"/>
      <c r="D153" s="5"/>
      <c r="E153" s="5"/>
      <c r="F153" s="75"/>
      <c r="G153" s="76"/>
    </row>
    <row r="154" spans="1:7" x14ac:dyDescent="0.25">
      <c r="A154" s="10">
        <v>149</v>
      </c>
      <c r="B154" s="5"/>
      <c r="C154" s="5"/>
      <c r="D154" s="5"/>
      <c r="E154" s="5"/>
      <c r="F154" s="75"/>
      <c r="G154" s="76"/>
    </row>
    <row r="155" spans="1:7" x14ac:dyDescent="0.25">
      <c r="A155" s="10">
        <v>150</v>
      </c>
      <c r="B155" s="5"/>
      <c r="C155" s="5"/>
      <c r="D155" s="5"/>
      <c r="E155" s="5"/>
      <c r="F155" s="75"/>
      <c r="G155" s="76"/>
    </row>
    <row r="156" spans="1:7" x14ac:dyDescent="0.25">
      <c r="A156" s="10">
        <v>151</v>
      </c>
      <c r="B156" s="5"/>
      <c r="C156" s="5"/>
      <c r="D156" s="5"/>
      <c r="E156" s="5"/>
      <c r="F156" s="75"/>
      <c r="G156" s="76"/>
    </row>
    <row r="157" spans="1:7" x14ac:dyDescent="0.25">
      <c r="A157" s="10">
        <v>152</v>
      </c>
      <c r="B157" s="5"/>
      <c r="C157" s="5"/>
      <c r="D157" s="5"/>
      <c r="E157" s="5"/>
      <c r="F157" s="75"/>
      <c r="G157" s="76"/>
    </row>
    <row r="158" spans="1:7" x14ac:dyDescent="0.25">
      <c r="A158" s="10">
        <v>153</v>
      </c>
      <c r="B158" s="5"/>
      <c r="C158" s="5"/>
      <c r="D158" s="5"/>
      <c r="E158" s="5"/>
      <c r="F158" s="75"/>
      <c r="G158" s="76"/>
    </row>
    <row r="159" spans="1:7" x14ac:dyDescent="0.25">
      <c r="A159" s="10">
        <v>154</v>
      </c>
      <c r="B159" s="5"/>
      <c r="C159" s="5"/>
      <c r="D159" s="5"/>
      <c r="E159" s="5"/>
      <c r="F159" s="75"/>
      <c r="G159" s="76"/>
    </row>
    <row r="160" spans="1:7" x14ac:dyDescent="0.25">
      <c r="A160" s="10">
        <v>155</v>
      </c>
      <c r="B160" s="5"/>
      <c r="C160" s="5"/>
      <c r="D160" s="5"/>
      <c r="E160" s="5"/>
      <c r="F160" s="75"/>
      <c r="G160" s="76"/>
    </row>
    <row r="161" spans="1:7" x14ac:dyDescent="0.25">
      <c r="A161" s="10">
        <v>156</v>
      </c>
      <c r="B161" s="5"/>
      <c r="C161" s="5"/>
      <c r="D161" s="5"/>
      <c r="E161" s="5"/>
      <c r="F161" s="75"/>
      <c r="G161" s="76"/>
    </row>
    <row r="162" spans="1:7" x14ac:dyDescent="0.25">
      <c r="A162" s="10">
        <v>157</v>
      </c>
      <c r="B162" s="5"/>
      <c r="C162" s="5"/>
      <c r="D162" s="5"/>
      <c r="E162" s="5"/>
      <c r="F162" s="75"/>
      <c r="G162" s="76"/>
    </row>
    <row r="163" spans="1:7" x14ac:dyDescent="0.25">
      <c r="A163" s="10">
        <v>158</v>
      </c>
      <c r="B163" s="5"/>
      <c r="C163" s="5"/>
      <c r="D163" s="5"/>
      <c r="E163" s="5"/>
      <c r="F163" s="75"/>
      <c r="G163" s="76"/>
    </row>
    <row r="164" spans="1:7" x14ac:dyDescent="0.25">
      <c r="A164" s="10">
        <v>159</v>
      </c>
      <c r="B164" s="5"/>
      <c r="C164" s="5"/>
      <c r="D164" s="5"/>
      <c r="E164" s="5"/>
      <c r="F164" s="75"/>
      <c r="G164" s="76"/>
    </row>
    <row r="165" spans="1:7" x14ac:dyDescent="0.25">
      <c r="A165" s="10">
        <v>160</v>
      </c>
      <c r="B165" s="5"/>
      <c r="C165" s="5"/>
      <c r="D165" s="5"/>
      <c r="E165" s="5"/>
      <c r="F165" s="75"/>
      <c r="G165" s="76"/>
    </row>
    <row r="166" spans="1:7" x14ac:dyDescent="0.25">
      <c r="A166" s="10">
        <v>161</v>
      </c>
      <c r="B166" s="5"/>
      <c r="C166" s="5"/>
      <c r="D166" s="5"/>
      <c r="E166" s="5"/>
      <c r="F166" s="75"/>
      <c r="G166" s="76"/>
    </row>
    <row r="167" spans="1:7" x14ac:dyDescent="0.25">
      <c r="A167" s="10">
        <v>162</v>
      </c>
      <c r="B167" s="5"/>
      <c r="C167" s="5"/>
      <c r="D167" s="5"/>
      <c r="E167" s="5"/>
      <c r="F167" s="75"/>
      <c r="G167" s="76"/>
    </row>
    <row r="168" spans="1:7" x14ac:dyDescent="0.25">
      <c r="A168" s="10">
        <v>163</v>
      </c>
      <c r="B168" s="5"/>
      <c r="C168" s="5"/>
      <c r="D168" s="5"/>
      <c r="E168" s="5"/>
      <c r="F168" s="75"/>
      <c r="G168" s="76"/>
    </row>
    <row r="169" spans="1:7" x14ac:dyDescent="0.25">
      <c r="A169" s="10">
        <v>164</v>
      </c>
      <c r="B169" s="5"/>
      <c r="C169" s="5"/>
      <c r="D169" s="5"/>
      <c r="E169" s="5"/>
      <c r="F169" s="75"/>
      <c r="G169" s="76"/>
    </row>
    <row r="170" spans="1:7" x14ac:dyDescent="0.25">
      <c r="A170" s="10">
        <v>165</v>
      </c>
      <c r="B170" s="5"/>
      <c r="C170" s="5"/>
      <c r="D170" s="5"/>
      <c r="E170" s="5"/>
      <c r="F170" s="75"/>
      <c r="G170" s="76"/>
    </row>
    <row r="171" spans="1:7" x14ac:dyDescent="0.25">
      <c r="A171" s="10">
        <v>166</v>
      </c>
      <c r="B171" s="5"/>
      <c r="C171" s="5"/>
      <c r="D171" s="5"/>
      <c r="E171" s="5"/>
      <c r="F171" s="75"/>
      <c r="G171" s="76"/>
    </row>
    <row r="172" spans="1:7" x14ac:dyDescent="0.25">
      <c r="A172" s="10">
        <v>167</v>
      </c>
      <c r="B172" s="5"/>
      <c r="C172" s="5"/>
      <c r="D172" s="5"/>
      <c r="E172" s="5"/>
      <c r="F172" s="75"/>
      <c r="G172" s="76"/>
    </row>
    <row r="173" spans="1:7" x14ac:dyDescent="0.25">
      <c r="A173" s="10">
        <v>168</v>
      </c>
      <c r="B173" s="5"/>
      <c r="C173" s="5"/>
      <c r="D173" s="5"/>
      <c r="E173" s="5"/>
      <c r="F173" s="75"/>
      <c r="G173" s="76"/>
    </row>
    <row r="174" spans="1:7" x14ac:dyDescent="0.25">
      <c r="A174" s="10">
        <v>169</v>
      </c>
      <c r="B174" s="5"/>
      <c r="C174" s="5"/>
      <c r="D174" s="5"/>
      <c r="E174" s="5"/>
      <c r="F174" s="75"/>
      <c r="G174" s="76"/>
    </row>
    <row r="175" spans="1:7" x14ac:dyDescent="0.25">
      <c r="A175" s="10">
        <v>170</v>
      </c>
      <c r="B175" s="5"/>
      <c r="C175" s="5"/>
      <c r="D175" s="5"/>
      <c r="E175" s="5"/>
      <c r="F175" s="75"/>
      <c r="G175" s="76"/>
    </row>
    <row r="176" spans="1:7" x14ac:dyDescent="0.25">
      <c r="A176" s="10">
        <v>171</v>
      </c>
      <c r="B176" s="5"/>
      <c r="C176" s="5"/>
      <c r="D176" s="5"/>
      <c r="E176" s="5"/>
      <c r="F176" s="75"/>
      <c r="G176" s="76"/>
    </row>
    <row r="177" spans="1:7" x14ac:dyDescent="0.25">
      <c r="A177" s="10">
        <v>172</v>
      </c>
      <c r="B177" s="5"/>
      <c r="C177" s="5"/>
      <c r="D177" s="5"/>
      <c r="E177" s="5"/>
      <c r="F177" s="75"/>
      <c r="G177" s="76"/>
    </row>
    <row r="178" spans="1:7" x14ac:dyDescent="0.25">
      <c r="A178" s="10">
        <v>173</v>
      </c>
      <c r="B178" s="5"/>
      <c r="C178" s="5"/>
      <c r="D178" s="5"/>
      <c r="E178" s="5"/>
      <c r="F178" s="75"/>
      <c r="G178" s="76"/>
    </row>
    <row r="179" spans="1:7" x14ac:dyDescent="0.25">
      <c r="A179" s="10">
        <v>174</v>
      </c>
      <c r="B179" s="5"/>
      <c r="C179" s="5"/>
      <c r="D179" s="5"/>
      <c r="E179" s="5"/>
      <c r="F179" s="75"/>
      <c r="G179" s="76"/>
    </row>
    <row r="180" spans="1:7" x14ac:dyDescent="0.25">
      <c r="A180" s="10">
        <v>175</v>
      </c>
      <c r="B180" s="5"/>
      <c r="C180" s="5"/>
      <c r="D180" s="5"/>
      <c r="E180" s="5"/>
      <c r="F180" s="75"/>
      <c r="G180" s="76"/>
    </row>
    <row r="181" spans="1:7" x14ac:dyDescent="0.25">
      <c r="A181" s="10">
        <v>176</v>
      </c>
      <c r="B181" s="5"/>
      <c r="C181" s="5"/>
      <c r="D181" s="5"/>
      <c r="E181" s="5"/>
      <c r="F181" s="75"/>
      <c r="G181" s="76"/>
    </row>
    <row r="182" spans="1:7" x14ac:dyDescent="0.25">
      <c r="A182" s="10">
        <v>177</v>
      </c>
      <c r="B182" s="5"/>
      <c r="C182" s="5"/>
      <c r="D182" s="5"/>
      <c r="E182" s="5"/>
      <c r="F182" s="75"/>
      <c r="G182" s="76"/>
    </row>
    <row r="183" spans="1:7" x14ac:dyDescent="0.25">
      <c r="A183" s="10">
        <v>178</v>
      </c>
      <c r="B183" s="5"/>
      <c r="C183" s="5"/>
      <c r="D183" s="5"/>
      <c r="E183" s="5"/>
      <c r="F183" s="75"/>
      <c r="G183" s="76"/>
    </row>
    <row r="184" spans="1:7" x14ac:dyDescent="0.25">
      <c r="A184" s="10">
        <v>179</v>
      </c>
      <c r="B184" s="5"/>
      <c r="C184" s="5"/>
      <c r="D184" s="5"/>
      <c r="E184" s="5"/>
      <c r="F184" s="75"/>
      <c r="G184" s="76"/>
    </row>
    <row r="185" spans="1:7" x14ac:dyDescent="0.25">
      <c r="A185" s="10">
        <v>180</v>
      </c>
      <c r="B185" s="5"/>
      <c r="C185" s="5"/>
      <c r="D185" s="5"/>
      <c r="E185" s="5"/>
      <c r="F185" s="75"/>
      <c r="G185" s="76"/>
    </row>
    <row r="186" spans="1:7" x14ac:dyDescent="0.25">
      <c r="A186" s="10">
        <v>181</v>
      </c>
      <c r="B186" s="5"/>
      <c r="C186" s="5"/>
      <c r="D186" s="5"/>
      <c r="E186" s="5"/>
      <c r="F186" s="75"/>
      <c r="G186" s="76"/>
    </row>
    <row r="187" spans="1:7" x14ac:dyDescent="0.25">
      <c r="A187" s="10">
        <v>182</v>
      </c>
      <c r="B187" s="5"/>
      <c r="C187" s="5"/>
      <c r="D187" s="5"/>
      <c r="E187" s="5"/>
      <c r="F187" s="75"/>
      <c r="G187" s="76"/>
    </row>
    <row r="188" spans="1:7" x14ac:dyDescent="0.25">
      <c r="A188" s="10">
        <v>183</v>
      </c>
      <c r="B188" s="5"/>
      <c r="C188" s="5"/>
      <c r="D188" s="5"/>
      <c r="E188" s="5"/>
      <c r="F188" s="75"/>
      <c r="G188" s="76"/>
    </row>
    <row r="189" spans="1:7" x14ac:dyDescent="0.25">
      <c r="A189" s="10">
        <v>184</v>
      </c>
      <c r="B189" s="5"/>
      <c r="C189" s="5"/>
      <c r="D189" s="5"/>
      <c r="E189" s="5"/>
      <c r="F189" s="75"/>
      <c r="G189" s="76"/>
    </row>
    <row r="190" spans="1:7" x14ac:dyDescent="0.25">
      <c r="A190" s="10">
        <v>185</v>
      </c>
      <c r="B190" s="5"/>
      <c r="C190" s="5"/>
      <c r="D190" s="5"/>
      <c r="E190" s="5"/>
      <c r="F190" s="75"/>
      <c r="G190" s="76"/>
    </row>
    <row r="191" spans="1:7" x14ac:dyDescent="0.25">
      <c r="A191" s="10">
        <v>186</v>
      </c>
      <c r="B191" s="5"/>
      <c r="C191" s="5"/>
      <c r="D191" s="5"/>
      <c r="E191" s="5"/>
      <c r="F191" s="75"/>
      <c r="G191" s="76"/>
    </row>
    <row r="192" spans="1:7" x14ac:dyDescent="0.25">
      <c r="A192" s="10">
        <v>187</v>
      </c>
      <c r="B192" s="5"/>
      <c r="C192" s="5"/>
      <c r="D192" s="5"/>
      <c r="E192" s="5"/>
      <c r="F192" s="75"/>
      <c r="G192" s="76"/>
    </row>
    <row r="193" spans="1:7" x14ac:dyDescent="0.25">
      <c r="A193" s="10">
        <v>188</v>
      </c>
      <c r="B193" s="5"/>
      <c r="C193" s="5"/>
      <c r="D193" s="5"/>
      <c r="E193" s="5"/>
      <c r="F193" s="75"/>
      <c r="G193" s="76"/>
    </row>
    <row r="194" spans="1:7" x14ac:dyDescent="0.25">
      <c r="A194" s="10">
        <v>189</v>
      </c>
      <c r="B194" s="5"/>
      <c r="C194" s="5"/>
      <c r="D194" s="5"/>
      <c r="E194" s="5"/>
      <c r="F194" s="75"/>
      <c r="G194" s="76"/>
    </row>
    <row r="195" spans="1:7" x14ac:dyDescent="0.25">
      <c r="A195" s="10">
        <v>190</v>
      </c>
      <c r="B195" s="5"/>
      <c r="C195" s="5"/>
      <c r="D195" s="5"/>
      <c r="E195" s="5"/>
      <c r="F195" s="75"/>
      <c r="G195" s="76"/>
    </row>
    <row r="196" spans="1:7" x14ac:dyDescent="0.25">
      <c r="A196" s="10">
        <v>191</v>
      </c>
      <c r="B196" s="5"/>
      <c r="C196" s="5"/>
      <c r="D196" s="5"/>
      <c r="E196" s="5"/>
      <c r="F196" s="75"/>
      <c r="G196" s="76"/>
    </row>
    <row r="197" spans="1:7" x14ac:dyDescent="0.25">
      <c r="A197" s="10">
        <v>192</v>
      </c>
      <c r="B197" s="5"/>
      <c r="C197" s="5"/>
      <c r="D197" s="5"/>
      <c r="E197" s="5"/>
      <c r="F197" s="75"/>
      <c r="G197" s="76"/>
    </row>
    <row r="198" spans="1:7" x14ac:dyDescent="0.25">
      <c r="A198" s="10">
        <v>193</v>
      </c>
      <c r="B198" s="5"/>
      <c r="C198" s="5"/>
      <c r="D198" s="5"/>
      <c r="E198" s="5"/>
      <c r="F198" s="75"/>
      <c r="G198" s="76"/>
    </row>
    <row r="199" spans="1:7" x14ac:dyDescent="0.25">
      <c r="A199" s="10">
        <v>194</v>
      </c>
      <c r="B199" s="5"/>
      <c r="C199" s="5"/>
      <c r="D199" s="5"/>
      <c r="E199" s="5"/>
      <c r="F199" s="75"/>
      <c r="G199" s="76"/>
    </row>
    <row r="200" spans="1:7" x14ac:dyDescent="0.25">
      <c r="A200" s="10">
        <v>195</v>
      </c>
      <c r="B200" s="5"/>
      <c r="C200" s="5"/>
      <c r="D200" s="5"/>
      <c r="E200" s="5"/>
      <c r="F200" s="75"/>
      <c r="G200" s="76"/>
    </row>
    <row r="201" spans="1:7" x14ac:dyDescent="0.25">
      <c r="A201" s="10">
        <v>196</v>
      </c>
      <c r="B201" s="5"/>
      <c r="C201" s="5"/>
      <c r="D201" s="5"/>
      <c r="E201" s="5"/>
      <c r="F201" s="75"/>
      <c r="G201" s="76"/>
    </row>
    <row r="202" spans="1:7" x14ac:dyDescent="0.25">
      <c r="A202" s="10">
        <v>197</v>
      </c>
      <c r="B202" s="5"/>
      <c r="C202" s="5"/>
      <c r="D202" s="5"/>
      <c r="E202" s="5"/>
      <c r="F202" s="75"/>
      <c r="G202" s="76"/>
    </row>
    <row r="203" spans="1:7" x14ac:dyDescent="0.25">
      <c r="A203" s="10">
        <v>198</v>
      </c>
      <c r="B203" s="5"/>
      <c r="C203" s="5"/>
      <c r="D203" s="5"/>
      <c r="E203" s="5"/>
      <c r="F203" s="75"/>
      <c r="G203" s="76"/>
    </row>
    <row r="204" spans="1:7" x14ac:dyDescent="0.25">
      <c r="A204" s="10">
        <v>199</v>
      </c>
      <c r="B204" s="5"/>
      <c r="C204" s="5"/>
      <c r="D204" s="5"/>
      <c r="E204" s="5"/>
      <c r="F204" s="75"/>
      <c r="G204" s="76"/>
    </row>
    <row r="205" spans="1:7" x14ac:dyDescent="0.25">
      <c r="A205" s="10">
        <v>200</v>
      </c>
      <c r="B205" s="5"/>
      <c r="C205" s="5"/>
      <c r="D205" s="5"/>
      <c r="E205" s="5"/>
      <c r="F205" s="75"/>
      <c r="G205" s="76"/>
    </row>
    <row r="206" spans="1:7" x14ac:dyDescent="0.25">
      <c r="A206" s="10">
        <v>201</v>
      </c>
      <c r="B206" s="5"/>
      <c r="C206" s="5"/>
      <c r="D206" s="5"/>
      <c r="E206" s="5"/>
      <c r="F206" s="75"/>
      <c r="G206" s="76"/>
    </row>
    <row r="207" spans="1:7" x14ac:dyDescent="0.25">
      <c r="A207" s="10">
        <v>202</v>
      </c>
      <c r="B207" s="5"/>
      <c r="C207" s="5"/>
      <c r="D207" s="5"/>
      <c r="E207" s="5"/>
      <c r="F207" s="75"/>
      <c r="G207" s="76"/>
    </row>
    <row r="208" spans="1:7" x14ac:dyDescent="0.25">
      <c r="A208" s="10">
        <v>203</v>
      </c>
      <c r="B208" s="5"/>
      <c r="C208" s="5"/>
      <c r="D208" s="5"/>
      <c r="E208" s="5"/>
      <c r="F208" s="75"/>
      <c r="G208" s="76"/>
    </row>
    <row r="209" spans="1:7" x14ac:dyDescent="0.25">
      <c r="A209" s="10">
        <v>204</v>
      </c>
      <c r="B209" s="5"/>
      <c r="C209" s="5"/>
      <c r="D209" s="5"/>
      <c r="E209" s="5"/>
      <c r="F209" s="75"/>
      <c r="G209" s="76"/>
    </row>
    <row r="210" spans="1:7" x14ac:dyDescent="0.25">
      <c r="A210" s="10">
        <v>205</v>
      </c>
      <c r="B210" s="5"/>
      <c r="C210" s="5"/>
      <c r="D210" s="5"/>
      <c r="E210" s="5"/>
      <c r="F210" s="75"/>
      <c r="G210" s="76"/>
    </row>
    <row r="211" spans="1:7" x14ac:dyDescent="0.25">
      <c r="A211" s="10">
        <v>206</v>
      </c>
      <c r="B211" s="5"/>
      <c r="C211" s="5"/>
      <c r="D211" s="5"/>
      <c r="E211" s="5"/>
      <c r="F211" s="75"/>
      <c r="G211" s="76"/>
    </row>
    <row r="212" spans="1:7" x14ac:dyDescent="0.25">
      <c r="A212" s="10">
        <v>207</v>
      </c>
      <c r="B212" s="5"/>
      <c r="C212" s="5"/>
      <c r="D212" s="5"/>
      <c r="E212" s="5"/>
      <c r="F212" s="75"/>
      <c r="G212" s="76"/>
    </row>
    <row r="213" spans="1:7" x14ac:dyDescent="0.25">
      <c r="A213" s="10">
        <v>208</v>
      </c>
      <c r="B213" s="5"/>
      <c r="C213" s="5"/>
      <c r="D213" s="5"/>
      <c r="E213" s="5"/>
      <c r="F213" s="75"/>
      <c r="G213" s="76"/>
    </row>
    <row r="214" spans="1:7" x14ac:dyDescent="0.25">
      <c r="A214" s="10">
        <v>209</v>
      </c>
      <c r="B214" s="5"/>
      <c r="C214" s="5"/>
      <c r="D214" s="5"/>
      <c r="E214" s="5"/>
      <c r="F214" s="75"/>
      <c r="G214" s="76"/>
    </row>
    <row r="215" spans="1:7" x14ac:dyDescent="0.25">
      <c r="A215" s="10">
        <v>210</v>
      </c>
      <c r="B215" s="5"/>
      <c r="C215" s="5"/>
      <c r="D215" s="5"/>
      <c r="E215" s="5"/>
      <c r="F215" s="75"/>
      <c r="G215" s="76"/>
    </row>
    <row r="216" spans="1:7" x14ac:dyDescent="0.25">
      <c r="A216" s="10">
        <v>211</v>
      </c>
      <c r="B216" s="5"/>
      <c r="C216" s="5"/>
      <c r="D216" s="5"/>
      <c r="E216" s="5"/>
      <c r="F216" s="75"/>
      <c r="G216" s="76"/>
    </row>
    <row r="217" spans="1:7" x14ac:dyDescent="0.25">
      <c r="A217" s="10">
        <v>212</v>
      </c>
      <c r="B217" s="5"/>
      <c r="C217" s="5"/>
      <c r="D217" s="5"/>
      <c r="E217" s="5"/>
      <c r="F217" s="75"/>
      <c r="G217" s="76"/>
    </row>
    <row r="218" spans="1:7" x14ac:dyDescent="0.25">
      <c r="A218" s="10">
        <v>213</v>
      </c>
      <c r="B218" s="5"/>
      <c r="C218" s="5"/>
      <c r="D218" s="5"/>
      <c r="E218" s="5"/>
      <c r="F218" s="75"/>
      <c r="G218" s="76"/>
    </row>
    <row r="219" spans="1:7" x14ac:dyDescent="0.25">
      <c r="A219" s="10">
        <v>214</v>
      </c>
      <c r="B219" s="5"/>
      <c r="C219" s="5"/>
      <c r="D219" s="5"/>
      <c r="E219" s="5"/>
      <c r="F219" s="75"/>
      <c r="G219" s="76"/>
    </row>
    <row r="220" spans="1:7" x14ac:dyDescent="0.25">
      <c r="A220" s="10">
        <v>215</v>
      </c>
      <c r="B220" s="5"/>
      <c r="C220" s="5"/>
      <c r="D220" s="5"/>
      <c r="E220" s="5"/>
      <c r="F220" s="75"/>
      <c r="G220" s="76"/>
    </row>
    <row r="221" spans="1:7" x14ac:dyDescent="0.25">
      <c r="A221" s="10">
        <v>216</v>
      </c>
      <c r="B221" s="5"/>
      <c r="C221" s="5"/>
      <c r="D221" s="5"/>
      <c r="E221" s="5"/>
      <c r="F221" s="75"/>
      <c r="G221" s="76"/>
    </row>
    <row r="222" spans="1:7" x14ac:dyDescent="0.25">
      <c r="A222" s="10">
        <v>217</v>
      </c>
      <c r="B222" s="5"/>
      <c r="C222" s="5"/>
      <c r="D222" s="5"/>
      <c r="E222" s="5"/>
      <c r="F222" s="75"/>
      <c r="G222" s="76"/>
    </row>
    <row r="223" spans="1:7" x14ac:dyDescent="0.25">
      <c r="A223" s="10">
        <v>218</v>
      </c>
      <c r="B223" s="5"/>
      <c r="C223" s="5"/>
      <c r="D223" s="5"/>
      <c r="E223" s="5"/>
      <c r="F223" s="75"/>
      <c r="G223" s="76"/>
    </row>
    <row r="224" spans="1:7" x14ac:dyDescent="0.25">
      <c r="A224" s="10">
        <v>219</v>
      </c>
      <c r="B224" s="5"/>
      <c r="C224" s="5"/>
      <c r="D224" s="5"/>
      <c r="E224" s="5"/>
      <c r="F224" s="75"/>
      <c r="G224" s="76"/>
    </row>
    <row r="225" spans="1:7" x14ac:dyDescent="0.25">
      <c r="A225" s="10">
        <v>220</v>
      </c>
      <c r="B225" s="5"/>
      <c r="C225" s="5"/>
      <c r="D225" s="5"/>
      <c r="E225" s="5"/>
      <c r="F225" s="75"/>
      <c r="G225" s="76"/>
    </row>
    <row r="226" spans="1:7" x14ac:dyDescent="0.25">
      <c r="A226" s="10">
        <v>221</v>
      </c>
      <c r="B226" s="5"/>
      <c r="C226" s="5"/>
      <c r="D226" s="5"/>
      <c r="E226" s="5"/>
      <c r="F226" s="75"/>
      <c r="G226" s="76"/>
    </row>
    <row r="227" spans="1:7" x14ac:dyDescent="0.25">
      <c r="A227" s="10">
        <v>222</v>
      </c>
      <c r="B227" s="5"/>
      <c r="C227" s="5"/>
      <c r="D227" s="5"/>
      <c r="E227" s="5"/>
      <c r="F227" s="75"/>
      <c r="G227" s="76"/>
    </row>
    <row r="228" spans="1:7" x14ac:dyDescent="0.25">
      <c r="A228" s="10">
        <v>223</v>
      </c>
      <c r="B228" s="5"/>
      <c r="C228" s="5"/>
      <c r="D228" s="5"/>
      <c r="E228" s="5"/>
      <c r="F228" s="75"/>
      <c r="G228" s="76"/>
    </row>
    <row r="229" spans="1:7" x14ac:dyDescent="0.25">
      <c r="A229" s="10">
        <v>224</v>
      </c>
      <c r="B229" s="5"/>
      <c r="C229" s="5"/>
      <c r="D229" s="5"/>
      <c r="E229" s="5"/>
      <c r="F229" s="75"/>
      <c r="G229" s="76"/>
    </row>
    <row r="230" spans="1:7" x14ac:dyDescent="0.25">
      <c r="A230" s="10">
        <v>225</v>
      </c>
      <c r="B230" s="5"/>
      <c r="C230" s="5"/>
      <c r="D230" s="5"/>
      <c r="E230" s="5"/>
      <c r="F230" s="75"/>
      <c r="G230" s="76"/>
    </row>
    <row r="231" spans="1:7" x14ac:dyDescent="0.25">
      <c r="A231" s="10">
        <v>226</v>
      </c>
      <c r="B231" s="5"/>
      <c r="C231" s="5"/>
      <c r="D231" s="5"/>
      <c r="E231" s="5"/>
      <c r="F231" s="75"/>
      <c r="G231" s="76"/>
    </row>
    <row r="232" spans="1:7" x14ac:dyDescent="0.25">
      <c r="A232" s="10">
        <v>227</v>
      </c>
      <c r="B232" s="5"/>
      <c r="C232" s="5"/>
      <c r="D232" s="5"/>
      <c r="E232" s="5"/>
      <c r="F232" s="75"/>
      <c r="G232" s="76"/>
    </row>
    <row r="233" spans="1:7" x14ac:dyDescent="0.25">
      <c r="A233" s="10">
        <v>228</v>
      </c>
      <c r="B233" s="5"/>
      <c r="C233" s="5"/>
      <c r="D233" s="5"/>
      <c r="E233" s="5"/>
      <c r="F233" s="75"/>
      <c r="G233" s="76"/>
    </row>
    <row r="234" spans="1:7" x14ac:dyDescent="0.25">
      <c r="A234" s="10">
        <v>229</v>
      </c>
      <c r="B234" s="5"/>
      <c r="C234" s="5"/>
      <c r="D234" s="5"/>
      <c r="E234" s="5"/>
      <c r="F234" s="75"/>
      <c r="G234" s="76"/>
    </row>
    <row r="235" spans="1:7" x14ac:dyDescent="0.25">
      <c r="A235" s="10">
        <v>230</v>
      </c>
      <c r="B235" s="5"/>
      <c r="C235" s="5"/>
      <c r="D235" s="5"/>
      <c r="E235" s="5"/>
      <c r="F235" s="75"/>
      <c r="G235" s="76"/>
    </row>
    <row r="236" spans="1:7" x14ac:dyDescent="0.25">
      <c r="A236" s="10">
        <v>231</v>
      </c>
      <c r="B236" s="5"/>
      <c r="C236" s="5"/>
      <c r="D236" s="5"/>
      <c r="E236" s="5"/>
      <c r="F236" s="75"/>
      <c r="G236" s="76"/>
    </row>
    <row r="237" spans="1:7" x14ac:dyDescent="0.25">
      <c r="A237" s="10">
        <v>232</v>
      </c>
      <c r="B237" s="5"/>
      <c r="C237" s="5"/>
      <c r="D237" s="5"/>
      <c r="E237" s="5"/>
      <c r="F237" s="75"/>
      <c r="G237" s="76"/>
    </row>
    <row r="238" spans="1:7" x14ac:dyDescent="0.25">
      <c r="A238" s="10">
        <v>233</v>
      </c>
      <c r="B238" s="5"/>
      <c r="C238" s="5"/>
      <c r="D238" s="5"/>
      <c r="E238" s="5"/>
      <c r="F238" s="75"/>
      <c r="G238" s="76"/>
    </row>
    <row r="239" spans="1:7" x14ac:dyDescent="0.25">
      <c r="A239" s="10">
        <v>234</v>
      </c>
      <c r="B239" s="5"/>
      <c r="C239" s="5"/>
      <c r="D239" s="5"/>
      <c r="E239" s="5"/>
      <c r="F239" s="75"/>
      <c r="G239" s="76"/>
    </row>
    <row r="240" spans="1:7" x14ac:dyDescent="0.25">
      <c r="A240" s="10">
        <v>235</v>
      </c>
      <c r="B240" s="5"/>
      <c r="C240" s="5"/>
      <c r="D240" s="5"/>
      <c r="E240" s="5"/>
      <c r="F240" s="75"/>
      <c r="G240" s="76"/>
    </row>
    <row r="241" spans="1:7" x14ac:dyDescent="0.25">
      <c r="A241" s="10">
        <v>236</v>
      </c>
      <c r="B241" s="5"/>
      <c r="C241" s="5"/>
      <c r="D241" s="5"/>
      <c r="E241" s="5"/>
      <c r="F241" s="75"/>
      <c r="G241" s="76"/>
    </row>
    <row r="242" spans="1:7" x14ac:dyDescent="0.25">
      <c r="A242" s="10">
        <v>237</v>
      </c>
      <c r="B242" s="5"/>
      <c r="C242" s="5"/>
      <c r="D242" s="5"/>
      <c r="E242" s="5"/>
      <c r="F242" s="75"/>
      <c r="G242" s="76"/>
    </row>
    <row r="243" spans="1:7" x14ac:dyDescent="0.25">
      <c r="A243" s="10">
        <v>238</v>
      </c>
      <c r="B243" s="5"/>
      <c r="C243" s="5"/>
      <c r="D243" s="5"/>
      <c r="E243" s="5"/>
      <c r="F243" s="75"/>
      <c r="G243" s="76"/>
    </row>
    <row r="244" spans="1:7" x14ac:dyDescent="0.25">
      <c r="A244" s="10">
        <v>239</v>
      </c>
      <c r="B244" s="5"/>
      <c r="C244" s="5"/>
      <c r="D244" s="5"/>
      <c r="E244" s="5"/>
      <c r="F244" s="75"/>
      <c r="G244" s="76"/>
    </row>
    <row r="245" spans="1:7" x14ac:dyDescent="0.25">
      <c r="A245" s="10">
        <v>240</v>
      </c>
      <c r="B245" s="5"/>
      <c r="C245" s="5"/>
      <c r="D245" s="5"/>
      <c r="E245" s="5"/>
      <c r="F245" s="75"/>
      <c r="G245" s="76"/>
    </row>
    <row r="246" spans="1:7" x14ac:dyDescent="0.25">
      <c r="A246" s="10">
        <v>241</v>
      </c>
      <c r="B246" s="5"/>
      <c r="C246" s="5"/>
      <c r="D246" s="5"/>
      <c r="E246" s="5"/>
      <c r="F246" s="75"/>
      <c r="G246" s="76"/>
    </row>
    <row r="247" spans="1:7" x14ac:dyDescent="0.25">
      <c r="A247" s="10">
        <v>242</v>
      </c>
      <c r="B247" s="5"/>
      <c r="C247" s="5"/>
      <c r="D247" s="5"/>
      <c r="E247" s="5"/>
      <c r="F247" s="75"/>
      <c r="G247" s="76"/>
    </row>
    <row r="248" spans="1:7" x14ac:dyDescent="0.25">
      <c r="A248" s="10">
        <v>243</v>
      </c>
      <c r="B248" s="5"/>
      <c r="C248" s="5"/>
      <c r="D248" s="5"/>
      <c r="E248" s="5"/>
      <c r="F248" s="75"/>
      <c r="G248" s="76"/>
    </row>
    <row r="249" spans="1:7" x14ac:dyDescent="0.25">
      <c r="A249" s="10">
        <v>244</v>
      </c>
      <c r="B249" s="5"/>
      <c r="C249" s="5"/>
      <c r="D249" s="5"/>
      <c r="E249" s="5"/>
      <c r="F249" s="75"/>
      <c r="G249" s="76"/>
    </row>
    <row r="250" spans="1:7" x14ac:dyDescent="0.25">
      <c r="A250" s="10">
        <v>245</v>
      </c>
      <c r="B250" s="5"/>
      <c r="C250" s="5"/>
      <c r="D250" s="5"/>
      <c r="E250" s="5"/>
      <c r="F250" s="75"/>
      <c r="G250" s="76"/>
    </row>
    <row r="251" spans="1:7" x14ac:dyDescent="0.25">
      <c r="A251" s="10">
        <v>246</v>
      </c>
      <c r="B251" s="5"/>
      <c r="C251" s="5"/>
      <c r="D251" s="5"/>
      <c r="E251" s="5"/>
      <c r="F251" s="75"/>
      <c r="G251" s="76"/>
    </row>
    <row r="252" spans="1:7" x14ac:dyDescent="0.25">
      <c r="A252" s="10">
        <v>247</v>
      </c>
      <c r="B252" s="5"/>
      <c r="C252" s="5"/>
      <c r="D252" s="5"/>
      <c r="E252" s="5"/>
      <c r="F252" s="75"/>
      <c r="G252" s="76"/>
    </row>
  </sheetData>
  <mergeCells count="256">
    <mergeCell ref="F248:G248"/>
    <mergeCell ref="F249:G249"/>
    <mergeCell ref="F250:G250"/>
    <mergeCell ref="F251:G251"/>
    <mergeCell ref="F252:G252"/>
    <mergeCell ref="F243:G243"/>
    <mergeCell ref="F244:G244"/>
    <mergeCell ref="F245:G245"/>
    <mergeCell ref="F246:G246"/>
    <mergeCell ref="F247:G247"/>
    <mergeCell ref="F238:G238"/>
    <mergeCell ref="F239:G239"/>
    <mergeCell ref="F240:G240"/>
    <mergeCell ref="F241:G241"/>
    <mergeCell ref="F242:G242"/>
    <mergeCell ref="F233:G233"/>
    <mergeCell ref="F234:G234"/>
    <mergeCell ref="F235:G235"/>
    <mergeCell ref="F236:G236"/>
    <mergeCell ref="F237:G237"/>
    <mergeCell ref="F228:G228"/>
    <mergeCell ref="F229:G229"/>
    <mergeCell ref="F230:G230"/>
    <mergeCell ref="F231:G231"/>
    <mergeCell ref="F232:G232"/>
    <mergeCell ref="F223:G223"/>
    <mergeCell ref="F224:G224"/>
    <mergeCell ref="F225:G225"/>
    <mergeCell ref="F226:G226"/>
    <mergeCell ref="F227:G227"/>
    <mergeCell ref="F218:G218"/>
    <mergeCell ref="F219:G219"/>
    <mergeCell ref="F220:G220"/>
    <mergeCell ref="F221:G221"/>
    <mergeCell ref="F222:G222"/>
    <mergeCell ref="F213:G213"/>
    <mergeCell ref="F214:G214"/>
    <mergeCell ref="F215:G215"/>
    <mergeCell ref="F216:G216"/>
    <mergeCell ref="F217:G217"/>
    <mergeCell ref="F208:G208"/>
    <mergeCell ref="F209:G209"/>
    <mergeCell ref="F210:G210"/>
    <mergeCell ref="F211:G211"/>
    <mergeCell ref="F212:G212"/>
    <mergeCell ref="F203:G203"/>
    <mergeCell ref="F204:G204"/>
    <mergeCell ref="F205:G205"/>
    <mergeCell ref="F206:G206"/>
    <mergeCell ref="F207:G207"/>
    <mergeCell ref="F198:G198"/>
    <mergeCell ref="F199:G199"/>
    <mergeCell ref="F200:G200"/>
    <mergeCell ref="F201:G201"/>
    <mergeCell ref="F202:G202"/>
    <mergeCell ref="F193:G193"/>
    <mergeCell ref="F194:G194"/>
    <mergeCell ref="F195:G195"/>
    <mergeCell ref="F196:G196"/>
    <mergeCell ref="F197:G197"/>
    <mergeCell ref="F188:G188"/>
    <mergeCell ref="F189:G189"/>
    <mergeCell ref="F190:G190"/>
    <mergeCell ref="F191:G191"/>
    <mergeCell ref="F192:G192"/>
    <mergeCell ref="F183:G183"/>
    <mergeCell ref="F184:G184"/>
    <mergeCell ref="F185:G185"/>
    <mergeCell ref="F186:G186"/>
    <mergeCell ref="F187:G187"/>
    <mergeCell ref="F178:G178"/>
    <mergeCell ref="F179:G179"/>
    <mergeCell ref="F180:G180"/>
    <mergeCell ref="F181:G181"/>
    <mergeCell ref="F182:G182"/>
    <mergeCell ref="F173:G173"/>
    <mergeCell ref="F174:G174"/>
    <mergeCell ref="F175:G175"/>
    <mergeCell ref="F176:G176"/>
    <mergeCell ref="F177:G177"/>
    <mergeCell ref="F168:G168"/>
    <mergeCell ref="F169:G169"/>
    <mergeCell ref="F170:G170"/>
    <mergeCell ref="F171:G171"/>
    <mergeCell ref="F172:G172"/>
    <mergeCell ref="F163:G163"/>
    <mergeCell ref="F164:G164"/>
    <mergeCell ref="F165:G165"/>
    <mergeCell ref="F166:G166"/>
    <mergeCell ref="F167:G167"/>
    <mergeCell ref="F158:G158"/>
    <mergeCell ref="F159:G159"/>
    <mergeCell ref="F160:G160"/>
    <mergeCell ref="F161:G161"/>
    <mergeCell ref="F162:G162"/>
    <mergeCell ref="F153:G153"/>
    <mergeCell ref="F154:G154"/>
    <mergeCell ref="F155:G155"/>
    <mergeCell ref="F156:G156"/>
    <mergeCell ref="F157:G157"/>
    <mergeCell ref="F148:G148"/>
    <mergeCell ref="F149:G149"/>
    <mergeCell ref="F150:G150"/>
    <mergeCell ref="F151:G151"/>
    <mergeCell ref="F152:G152"/>
    <mergeCell ref="F143:G143"/>
    <mergeCell ref="F144:G144"/>
    <mergeCell ref="F145:G145"/>
    <mergeCell ref="F146:G146"/>
    <mergeCell ref="F147:G147"/>
    <mergeCell ref="F138:G138"/>
    <mergeCell ref="F139:G139"/>
    <mergeCell ref="F140:G140"/>
    <mergeCell ref="F141:G141"/>
    <mergeCell ref="F142:G142"/>
    <mergeCell ref="F133:G133"/>
    <mergeCell ref="F134:G134"/>
    <mergeCell ref="F135:G135"/>
    <mergeCell ref="F136:G136"/>
    <mergeCell ref="F137:G137"/>
    <mergeCell ref="F128:G128"/>
    <mergeCell ref="F129:G129"/>
    <mergeCell ref="F130:G130"/>
    <mergeCell ref="F131:G131"/>
    <mergeCell ref="F132:G132"/>
    <mergeCell ref="F123:G123"/>
    <mergeCell ref="F124:G124"/>
    <mergeCell ref="F125:G125"/>
    <mergeCell ref="F126:G126"/>
    <mergeCell ref="F127:G127"/>
    <mergeCell ref="F118:G118"/>
    <mergeCell ref="F119:G119"/>
    <mergeCell ref="F120:G120"/>
    <mergeCell ref="F121:G121"/>
    <mergeCell ref="F122:G122"/>
    <mergeCell ref="F113:G113"/>
    <mergeCell ref="F114:G114"/>
    <mergeCell ref="F115:G115"/>
    <mergeCell ref="F116:G116"/>
    <mergeCell ref="F117:G117"/>
    <mergeCell ref="F108:G108"/>
    <mergeCell ref="F109:G109"/>
    <mergeCell ref="F110:G110"/>
    <mergeCell ref="F111:G111"/>
    <mergeCell ref="F112:G112"/>
    <mergeCell ref="F103:G103"/>
    <mergeCell ref="F104:G104"/>
    <mergeCell ref="F105:G105"/>
    <mergeCell ref="F106:G106"/>
    <mergeCell ref="F107:G107"/>
    <mergeCell ref="F98:G98"/>
    <mergeCell ref="F99:G99"/>
    <mergeCell ref="F100:G100"/>
    <mergeCell ref="F101:G101"/>
    <mergeCell ref="F102:G102"/>
    <mergeCell ref="F93:G93"/>
    <mergeCell ref="F94:G94"/>
    <mergeCell ref="F95:G95"/>
    <mergeCell ref="F96:G96"/>
    <mergeCell ref="F97:G97"/>
    <mergeCell ref="F88:G88"/>
    <mergeCell ref="F89:G89"/>
    <mergeCell ref="F90:G90"/>
    <mergeCell ref="F91:G91"/>
    <mergeCell ref="F92:G92"/>
    <mergeCell ref="F83:G83"/>
    <mergeCell ref="F84:G84"/>
    <mergeCell ref="F85:G85"/>
    <mergeCell ref="F86:G86"/>
    <mergeCell ref="F87:G87"/>
    <mergeCell ref="F78:G78"/>
    <mergeCell ref="F79:G79"/>
    <mergeCell ref="F80:G80"/>
    <mergeCell ref="F81:G81"/>
    <mergeCell ref="F82:G82"/>
    <mergeCell ref="F73:G73"/>
    <mergeCell ref="F74:G74"/>
    <mergeCell ref="F75:G75"/>
    <mergeCell ref="F76:G76"/>
    <mergeCell ref="F77:G77"/>
    <mergeCell ref="F68:G68"/>
    <mergeCell ref="F69:G69"/>
    <mergeCell ref="F70:G70"/>
    <mergeCell ref="F71:G71"/>
    <mergeCell ref="F72:G72"/>
    <mergeCell ref="F63:G63"/>
    <mergeCell ref="F64:G64"/>
    <mergeCell ref="F65:G65"/>
    <mergeCell ref="F66:G66"/>
    <mergeCell ref="F67:G67"/>
    <mergeCell ref="F58:G58"/>
    <mergeCell ref="F59:G59"/>
    <mergeCell ref="F60:G60"/>
    <mergeCell ref="F61:G61"/>
    <mergeCell ref="F62:G62"/>
    <mergeCell ref="F53:G53"/>
    <mergeCell ref="F54:G54"/>
    <mergeCell ref="F55:G55"/>
    <mergeCell ref="F56:G56"/>
    <mergeCell ref="F57:G57"/>
    <mergeCell ref="F48:G48"/>
    <mergeCell ref="F49:G49"/>
    <mergeCell ref="F50:G50"/>
    <mergeCell ref="F51:G51"/>
    <mergeCell ref="F52:G52"/>
    <mergeCell ref="F43:G43"/>
    <mergeCell ref="F44:G44"/>
    <mergeCell ref="F45:G45"/>
    <mergeCell ref="F46:G46"/>
    <mergeCell ref="F47:G47"/>
    <mergeCell ref="F38:G38"/>
    <mergeCell ref="F39:G39"/>
    <mergeCell ref="F40:G40"/>
    <mergeCell ref="F41:G41"/>
    <mergeCell ref="F42:G42"/>
    <mergeCell ref="F33:G33"/>
    <mergeCell ref="F34:G34"/>
    <mergeCell ref="F35:G35"/>
    <mergeCell ref="F36:G36"/>
    <mergeCell ref="F37:G37"/>
    <mergeCell ref="F28:G28"/>
    <mergeCell ref="F29:G29"/>
    <mergeCell ref="F30:G30"/>
    <mergeCell ref="F31:G31"/>
    <mergeCell ref="F32:G32"/>
    <mergeCell ref="F10:G10"/>
    <mergeCell ref="A1:E1"/>
    <mergeCell ref="F1:G1"/>
    <mergeCell ref="A3:A4"/>
    <mergeCell ref="B3:B4"/>
    <mergeCell ref="C3:C4"/>
    <mergeCell ref="D3:D4"/>
    <mergeCell ref="E3:E4"/>
    <mergeCell ref="F3:F4"/>
    <mergeCell ref="F5:G5"/>
    <mergeCell ref="F6:G6"/>
    <mergeCell ref="F7:G7"/>
    <mergeCell ref="F8:G8"/>
    <mergeCell ref="F9:G9"/>
    <mergeCell ref="F22:G22"/>
    <mergeCell ref="F11:G11"/>
    <mergeCell ref="F12:G12"/>
    <mergeCell ref="F13:G13"/>
    <mergeCell ref="F14:G14"/>
    <mergeCell ref="F25:G25"/>
    <mergeCell ref="F26:G26"/>
    <mergeCell ref="F27:G27"/>
    <mergeCell ref="F15:G15"/>
    <mergeCell ref="F16:G16"/>
    <mergeCell ref="F17:G17"/>
    <mergeCell ref="F18:G18"/>
    <mergeCell ref="F19:G19"/>
    <mergeCell ref="F20:G20"/>
    <mergeCell ref="F21:G21"/>
    <mergeCell ref="F23:G23"/>
    <mergeCell ref="F24:G24"/>
  </mergeCells>
  <phoneticPr fontId="1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128B-B968-488C-9655-0484BB7A81A3}">
  <dimension ref="A1:G252"/>
  <sheetViews>
    <sheetView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J10" sqref="J10"/>
    </sheetView>
  </sheetViews>
  <sheetFormatPr defaultRowHeight="16.5" x14ac:dyDescent="0.25"/>
  <cols>
    <col min="1" max="1" width="10.375" bestFit="1" customWidth="1"/>
    <col min="2" max="2" width="14.375" customWidth="1"/>
    <col min="3" max="3" width="10.375" bestFit="1" customWidth="1"/>
    <col min="4" max="4" width="8.125" bestFit="1" customWidth="1"/>
    <col min="5" max="5" width="10.375" bestFit="1" customWidth="1"/>
    <col min="7" max="7" width="14.125" bestFit="1" customWidth="1"/>
    <col min="10" max="10" width="13.875" customWidth="1"/>
  </cols>
  <sheetData>
    <row r="1" spans="1:7" x14ac:dyDescent="0.25">
      <c r="A1" s="49" t="s">
        <v>7</v>
      </c>
      <c r="B1" s="49"/>
      <c r="C1" s="49"/>
      <c r="D1" s="49"/>
      <c r="E1" s="49"/>
      <c r="F1" s="65" t="s">
        <v>49</v>
      </c>
      <c r="G1" s="65"/>
    </row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25">
      <c r="A3" s="83">
        <f>(E3-F3)/D3</f>
        <v>51.256624825662485</v>
      </c>
      <c r="B3" s="63">
        <f>E3/D3</f>
        <v>51.406555090655509</v>
      </c>
      <c r="C3" s="84">
        <f>SUM('50股價'!B2)</f>
        <v>97</v>
      </c>
      <c r="D3" s="55">
        <f>SUM(D6:D999)</f>
        <v>1434</v>
      </c>
      <c r="E3" s="55">
        <f>SUM(E6:E999)</f>
        <v>73717</v>
      </c>
      <c r="F3" s="55">
        <f>SUM(F6:F999)</f>
        <v>215</v>
      </c>
      <c r="G3" s="7">
        <f>G4/E3</f>
        <v>0.8898354517953796</v>
      </c>
    </row>
    <row r="4" spans="1:7" x14ac:dyDescent="0.25">
      <c r="A4" s="83"/>
      <c r="B4" s="63"/>
      <c r="C4" s="84"/>
      <c r="D4" s="55"/>
      <c r="E4" s="55"/>
      <c r="F4" s="55"/>
      <c r="G4" s="33">
        <f>(C3-B3)*D3+F3</f>
        <v>65596</v>
      </c>
    </row>
    <row r="5" spans="1:7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1" t="s">
        <v>5</v>
      </c>
      <c r="G5" s="51"/>
    </row>
    <row r="6" spans="1:7" x14ac:dyDescent="0.25">
      <c r="A6" s="10">
        <v>1</v>
      </c>
      <c r="B6" s="28">
        <v>20250411</v>
      </c>
      <c r="C6" s="28">
        <v>39.625</v>
      </c>
      <c r="D6" s="28">
        <v>400</v>
      </c>
      <c r="E6" s="28">
        <v>15895</v>
      </c>
      <c r="F6" s="62"/>
      <c r="G6" s="62"/>
    </row>
    <row r="7" spans="1:7" x14ac:dyDescent="0.25">
      <c r="A7" s="10">
        <v>2</v>
      </c>
      <c r="B7" s="28">
        <v>20250605</v>
      </c>
      <c r="C7" s="28">
        <v>45.54</v>
      </c>
      <c r="D7" s="28">
        <v>60</v>
      </c>
      <c r="E7" s="28">
        <v>2733</v>
      </c>
      <c r="F7" s="62"/>
      <c r="G7" s="62"/>
    </row>
    <row r="8" spans="1:7" x14ac:dyDescent="0.25">
      <c r="A8" s="10">
        <v>3</v>
      </c>
      <c r="B8" s="28">
        <v>20250625</v>
      </c>
      <c r="C8" s="28">
        <v>47.94</v>
      </c>
      <c r="D8" s="28">
        <v>57</v>
      </c>
      <c r="E8" s="28">
        <v>2734</v>
      </c>
      <c r="F8" s="62"/>
      <c r="G8" s="62"/>
    </row>
    <row r="9" spans="1:7" x14ac:dyDescent="0.25">
      <c r="A9" s="10">
        <v>4</v>
      </c>
      <c r="B9" s="28">
        <v>20250707</v>
      </c>
      <c r="C9" s="28">
        <v>48.55</v>
      </c>
      <c r="D9" s="28">
        <v>55</v>
      </c>
      <c r="E9" s="28">
        <v>2671</v>
      </c>
      <c r="F9" s="62"/>
      <c r="G9" s="62"/>
    </row>
    <row r="10" spans="1:7" x14ac:dyDescent="0.25">
      <c r="A10" s="10">
        <v>5</v>
      </c>
      <c r="B10" s="28">
        <v>20250715</v>
      </c>
      <c r="C10" s="28">
        <v>49.35</v>
      </c>
      <c r="D10" s="28">
        <v>55</v>
      </c>
      <c r="E10" s="28">
        <v>2715</v>
      </c>
      <c r="F10" s="62"/>
      <c r="G10" s="62"/>
    </row>
    <row r="11" spans="1:7" x14ac:dyDescent="0.25">
      <c r="A11" s="10">
        <v>6</v>
      </c>
      <c r="B11" s="28">
        <v>20250725</v>
      </c>
      <c r="C11" s="28">
        <v>51</v>
      </c>
      <c r="D11" s="28">
        <v>53</v>
      </c>
      <c r="E11" s="28">
        <v>2704</v>
      </c>
      <c r="F11" s="71"/>
      <c r="G11" s="72"/>
    </row>
    <row r="12" spans="1:7" x14ac:dyDescent="0.25">
      <c r="A12" s="10">
        <v>7</v>
      </c>
      <c r="B12" s="28">
        <v>20250805</v>
      </c>
      <c r="C12" s="28">
        <v>51.3</v>
      </c>
      <c r="D12" s="28">
        <v>53</v>
      </c>
      <c r="E12" s="28">
        <v>2720</v>
      </c>
      <c r="F12" s="71"/>
      <c r="G12" s="72"/>
    </row>
    <row r="13" spans="1:7" x14ac:dyDescent="0.25">
      <c r="A13" s="10">
        <v>8</v>
      </c>
      <c r="B13" s="28">
        <v>20250808</v>
      </c>
      <c r="C13" s="28"/>
      <c r="D13" s="28"/>
      <c r="E13" s="28"/>
      <c r="F13" s="71">
        <v>215</v>
      </c>
      <c r="G13" s="72"/>
    </row>
    <row r="14" spans="1:7" x14ac:dyDescent="0.25">
      <c r="A14" s="10">
        <v>9</v>
      </c>
      <c r="B14" s="28">
        <v>20250815</v>
      </c>
      <c r="C14" s="28">
        <v>53.05</v>
      </c>
      <c r="D14" s="28">
        <v>51</v>
      </c>
      <c r="E14" s="28">
        <v>2707</v>
      </c>
      <c r="F14" s="71"/>
      <c r="G14" s="72"/>
    </row>
    <row r="15" spans="1:7" x14ac:dyDescent="0.25">
      <c r="A15" s="10">
        <v>10</v>
      </c>
      <c r="B15" s="28">
        <v>20250825</v>
      </c>
      <c r="C15" s="28">
        <v>52.6</v>
      </c>
      <c r="D15" s="28">
        <v>52</v>
      </c>
      <c r="E15" s="28">
        <v>2736</v>
      </c>
      <c r="F15" s="71"/>
      <c r="G15" s="72"/>
    </row>
    <row r="16" spans="1:7" x14ac:dyDescent="0.25">
      <c r="A16" s="10">
        <v>11</v>
      </c>
      <c r="B16" s="28">
        <v>20250905</v>
      </c>
      <c r="C16" s="28">
        <v>52.75</v>
      </c>
      <c r="D16" s="28">
        <v>57</v>
      </c>
      <c r="E16" s="28">
        <v>3008</v>
      </c>
      <c r="F16" s="71"/>
      <c r="G16" s="72"/>
    </row>
    <row r="17" spans="1:7" x14ac:dyDescent="0.25">
      <c r="A17" s="10">
        <v>12</v>
      </c>
      <c r="B17" s="28">
        <v>20250915</v>
      </c>
      <c r="C17" s="28">
        <v>55.92</v>
      </c>
      <c r="D17" s="28">
        <v>59</v>
      </c>
      <c r="E17" s="28">
        <v>3301</v>
      </c>
      <c r="F17" s="71"/>
      <c r="G17" s="72"/>
    </row>
    <row r="18" spans="1:7" x14ac:dyDescent="0.25">
      <c r="A18" s="10">
        <v>13</v>
      </c>
      <c r="B18" s="28">
        <v>20250925</v>
      </c>
      <c r="C18" s="28">
        <v>58.17</v>
      </c>
      <c r="D18" s="28">
        <v>58</v>
      </c>
      <c r="E18" s="28">
        <v>3375</v>
      </c>
      <c r="F18" s="71"/>
      <c r="G18" s="72"/>
    </row>
    <row r="19" spans="1:7" x14ac:dyDescent="0.25">
      <c r="A19" s="10">
        <v>14</v>
      </c>
      <c r="B19" s="28">
        <v>20251007</v>
      </c>
      <c r="C19" s="28">
        <v>61.3</v>
      </c>
      <c r="D19" s="28">
        <v>53</v>
      </c>
      <c r="E19" s="28">
        <v>3250</v>
      </c>
      <c r="F19" s="71"/>
      <c r="G19" s="72"/>
    </row>
    <row r="20" spans="1:7" x14ac:dyDescent="0.25">
      <c r="A20" s="10">
        <v>15</v>
      </c>
      <c r="B20" s="28">
        <v>20251015</v>
      </c>
      <c r="C20" s="28">
        <v>61.03</v>
      </c>
      <c r="D20" s="28">
        <v>54</v>
      </c>
      <c r="E20" s="28">
        <v>3297</v>
      </c>
      <c r="F20" s="71"/>
      <c r="G20" s="72"/>
    </row>
    <row r="21" spans="1:7" x14ac:dyDescent="0.25">
      <c r="A21" s="10">
        <v>16</v>
      </c>
      <c r="B21" s="28">
        <v>20251027</v>
      </c>
      <c r="C21" s="28">
        <v>63.65</v>
      </c>
      <c r="D21" s="28">
        <v>53</v>
      </c>
      <c r="E21" s="28">
        <v>3373</v>
      </c>
      <c r="F21" s="71"/>
      <c r="G21" s="72"/>
    </row>
    <row r="22" spans="1:7" x14ac:dyDescent="0.25">
      <c r="A22" s="10">
        <v>17</v>
      </c>
      <c r="B22" s="28">
        <v>20251105</v>
      </c>
      <c r="C22" s="28">
        <v>62.63</v>
      </c>
      <c r="D22" s="28">
        <v>52</v>
      </c>
      <c r="E22" s="28">
        <v>3258</v>
      </c>
      <c r="F22" s="85"/>
      <c r="G22" s="86"/>
    </row>
    <row r="23" spans="1:7" x14ac:dyDescent="0.25">
      <c r="A23" s="10">
        <v>18</v>
      </c>
      <c r="B23" s="28">
        <v>20251125</v>
      </c>
      <c r="C23" s="28">
        <v>60.53</v>
      </c>
      <c r="D23" s="28">
        <v>56</v>
      </c>
      <c r="E23" s="28">
        <v>3391</v>
      </c>
      <c r="F23" s="85"/>
      <c r="G23" s="86"/>
    </row>
    <row r="24" spans="1:7" x14ac:dyDescent="0.25">
      <c r="A24" s="10">
        <v>19</v>
      </c>
      <c r="B24" s="28">
        <v>20251205</v>
      </c>
      <c r="C24" s="28">
        <v>62.5</v>
      </c>
      <c r="D24" s="28">
        <v>52</v>
      </c>
      <c r="E24" s="28">
        <v>3251</v>
      </c>
      <c r="F24" s="85"/>
      <c r="G24" s="86"/>
    </row>
    <row r="25" spans="1:7" x14ac:dyDescent="0.25">
      <c r="A25" s="10">
        <v>20</v>
      </c>
      <c r="B25" s="28">
        <v>20251215</v>
      </c>
      <c r="C25" s="28">
        <v>62.63</v>
      </c>
      <c r="D25" s="28">
        <v>52</v>
      </c>
      <c r="E25" s="28">
        <v>3258</v>
      </c>
      <c r="F25" s="85"/>
      <c r="G25" s="86"/>
    </row>
    <row r="26" spans="1:7" x14ac:dyDescent="0.25">
      <c r="A26" s="10">
        <v>21</v>
      </c>
      <c r="B26" s="28">
        <v>20251226</v>
      </c>
      <c r="C26" s="28">
        <v>64.22</v>
      </c>
      <c r="D26" s="28">
        <v>52</v>
      </c>
      <c r="E26" s="28">
        <v>3340</v>
      </c>
      <c r="F26" s="85"/>
      <c r="G26" s="86"/>
    </row>
    <row r="27" spans="1:7" x14ac:dyDescent="0.25">
      <c r="A27" s="10">
        <v>22</v>
      </c>
      <c r="B27" s="42"/>
      <c r="C27" s="42"/>
      <c r="D27" s="42"/>
      <c r="E27" s="42"/>
      <c r="F27" s="87"/>
      <c r="G27" s="88"/>
    </row>
    <row r="28" spans="1:7" x14ac:dyDescent="0.25">
      <c r="A28" s="10">
        <v>23</v>
      </c>
      <c r="B28" s="42"/>
      <c r="C28" s="42"/>
      <c r="D28" s="42"/>
      <c r="E28" s="42"/>
      <c r="F28" s="87"/>
      <c r="G28" s="88"/>
    </row>
    <row r="29" spans="1:7" x14ac:dyDescent="0.25">
      <c r="A29" s="10">
        <v>24</v>
      </c>
      <c r="B29" s="42"/>
      <c r="C29" s="42"/>
      <c r="D29" s="42"/>
      <c r="E29" s="42"/>
      <c r="F29" s="87"/>
      <c r="G29" s="88"/>
    </row>
    <row r="30" spans="1:7" x14ac:dyDescent="0.25">
      <c r="A30" s="10">
        <v>25</v>
      </c>
      <c r="B30" s="42"/>
      <c r="C30" s="42"/>
      <c r="D30" s="42"/>
      <c r="E30" s="42"/>
      <c r="F30" s="87"/>
      <c r="G30" s="88"/>
    </row>
    <row r="31" spans="1:7" x14ac:dyDescent="0.25">
      <c r="A31" s="10">
        <v>26</v>
      </c>
      <c r="B31" s="42"/>
      <c r="C31" s="42"/>
      <c r="D31" s="42"/>
      <c r="E31" s="42"/>
      <c r="F31" s="87"/>
      <c r="G31" s="88"/>
    </row>
    <row r="32" spans="1:7" x14ac:dyDescent="0.25">
      <c r="A32" s="10">
        <v>27</v>
      </c>
      <c r="B32" s="42"/>
      <c r="C32" s="42"/>
      <c r="D32" s="42"/>
      <c r="E32" s="42"/>
      <c r="F32" s="87"/>
      <c r="G32" s="88"/>
    </row>
    <row r="33" spans="1:7" x14ac:dyDescent="0.25">
      <c r="A33" s="10">
        <v>28</v>
      </c>
      <c r="B33" s="42"/>
      <c r="C33" s="42"/>
      <c r="D33" s="42"/>
      <c r="E33" s="42"/>
      <c r="F33" s="87"/>
      <c r="G33" s="88"/>
    </row>
    <row r="34" spans="1:7" x14ac:dyDescent="0.25">
      <c r="A34" s="10">
        <v>29</v>
      </c>
      <c r="B34" s="42"/>
      <c r="C34" s="42"/>
      <c r="D34" s="42"/>
      <c r="E34" s="42"/>
      <c r="F34" s="87"/>
      <c r="G34" s="88"/>
    </row>
    <row r="35" spans="1:7" x14ac:dyDescent="0.25">
      <c r="A35" s="10">
        <v>30</v>
      </c>
      <c r="B35" s="42"/>
      <c r="C35" s="42"/>
      <c r="D35" s="42"/>
      <c r="E35" s="42"/>
      <c r="F35" s="87"/>
      <c r="G35" s="88"/>
    </row>
    <row r="36" spans="1:7" x14ac:dyDescent="0.25">
      <c r="A36" s="10">
        <v>31</v>
      </c>
      <c r="B36" s="42"/>
      <c r="C36" s="42"/>
      <c r="D36" s="42"/>
      <c r="E36" s="42"/>
      <c r="F36" s="87"/>
      <c r="G36" s="88"/>
    </row>
    <row r="37" spans="1:7" x14ac:dyDescent="0.25">
      <c r="A37" s="10">
        <v>32</v>
      </c>
      <c r="B37" s="42"/>
      <c r="C37" s="42"/>
      <c r="D37" s="42"/>
      <c r="E37" s="42"/>
      <c r="F37" s="87"/>
      <c r="G37" s="88"/>
    </row>
    <row r="38" spans="1:7" x14ac:dyDescent="0.25">
      <c r="A38" s="10">
        <v>33</v>
      </c>
      <c r="B38" s="42"/>
      <c r="C38" s="42"/>
      <c r="D38" s="42"/>
      <c r="E38" s="42"/>
      <c r="F38" s="87"/>
      <c r="G38" s="88"/>
    </row>
    <row r="39" spans="1:7" x14ac:dyDescent="0.25">
      <c r="A39" s="10">
        <v>34</v>
      </c>
      <c r="B39" s="42"/>
      <c r="C39" s="42"/>
      <c r="D39" s="42"/>
      <c r="E39" s="42"/>
      <c r="F39" s="87"/>
      <c r="G39" s="88"/>
    </row>
    <row r="40" spans="1:7" x14ac:dyDescent="0.25">
      <c r="A40" s="10">
        <v>35</v>
      </c>
      <c r="B40" s="42"/>
      <c r="C40" s="42"/>
      <c r="D40" s="42"/>
      <c r="E40" s="42"/>
      <c r="F40" s="87"/>
      <c r="G40" s="88"/>
    </row>
    <row r="41" spans="1:7" x14ac:dyDescent="0.25">
      <c r="A41" s="10">
        <v>36</v>
      </c>
      <c r="B41" s="42"/>
      <c r="C41" s="42"/>
      <c r="D41" s="42"/>
      <c r="E41" s="42"/>
      <c r="F41" s="87"/>
      <c r="G41" s="88"/>
    </row>
    <row r="42" spans="1:7" x14ac:dyDescent="0.25">
      <c r="A42" s="10">
        <v>37</v>
      </c>
      <c r="B42" s="42"/>
      <c r="C42" s="42"/>
      <c r="D42" s="42"/>
      <c r="E42" s="42"/>
      <c r="F42" s="87"/>
      <c r="G42" s="88"/>
    </row>
    <row r="43" spans="1:7" x14ac:dyDescent="0.25">
      <c r="A43" s="10">
        <v>38</v>
      </c>
      <c r="B43" s="42"/>
      <c r="C43" s="42"/>
      <c r="D43" s="42"/>
      <c r="E43" s="42"/>
      <c r="F43" s="87"/>
      <c r="G43" s="88"/>
    </row>
    <row r="44" spans="1:7" x14ac:dyDescent="0.25">
      <c r="A44" s="10">
        <v>39</v>
      </c>
      <c r="B44" s="42"/>
      <c r="C44" s="42"/>
      <c r="D44" s="42"/>
      <c r="E44" s="42"/>
      <c r="F44" s="87"/>
      <c r="G44" s="88"/>
    </row>
    <row r="45" spans="1:7" x14ac:dyDescent="0.25">
      <c r="A45" s="10">
        <v>40</v>
      </c>
      <c r="B45" s="42"/>
      <c r="C45" s="42"/>
      <c r="D45" s="42"/>
      <c r="E45" s="42"/>
      <c r="F45" s="87"/>
      <c r="G45" s="88"/>
    </row>
    <row r="46" spans="1:7" x14ac:dyDescent="0.25">
      <c r="A46" s="10">
        <v>41</v>
      </c>
      <c r="B46" s="42"/>
      <c r="C46" s="42"/>
      <c r="D46" s="42"/>
      <c r="E46" s="42"/>
      <c r="F46" s="87"/>
      <c r="G46" s="88"/>
    </row>
    <row r="47" spans="1:7" x14ac:dyDescent="0.25">
      <c r="A47" s="10">
        <v>42</v>
      </c>
      <c r="B47" s="42"/>
      <c r="C47" s="42"/>
      <c r="D47" s="42"/>
      <c r="E47" s="42"/>
      <c r="F47" s="87"/>
      <c r="G47" s="88"/>
    </row>
    <row r="48" spans="1:7" x14ac:dyDescent="0.25">
      <c r="A48" s="10">
        <v>43</v>
      </c>
      <c r="B48" s="42"/>
      <c r="C48" s="42"/>
      <c r="D48" s="42"/>
      <c r="E48" s="42"/>
      <c r="F48" s="87"/>
      <c r="G48" s="88"/>
    </row>
    <row r="49" spans="1:7" x14ac:dyDescent="0.25">
      <c r="A49" s="10">
        <v>44</v>
      </c>
      <c r="B49" s="42"/>
      <c r="C49" s="42"/>
      <c r="D49" s="42"/>
      <c r="E49" s="42"/>
      <c r="F49" s="87"/>
      <c r="G49" s="88"/>
    </row>
    <row r="50" spans="1:7" x14ac:dyDescent="0.25">
      <c r="A50" s="10">
        <v>45</v>
      </c>
      <c r="B50" s="42"/>
      <c r="C50" s="42"/>
      <c r="D50" s="42"/>
      <c r="E50" s="42"/>
      <c r="F50" s="87"/>
      <c r="G50" s="88"/>
    </row>
    <row r="51" spans="1:7" x14ac:dyDescent="0.25">
      <c r="A51" s="10">
        <v>46</v>
      </c>
      <c r="B51" s="42"/>
      <c r="C51" s="42"/>
      <c r="D51" s="42"/>
      <c r="E51" s="42"/>
      <c r="F51" s="87"/>
      <c r="G51" s="88"/>
    </row>
    <row r="52" spans="1:7" x14ac:dyDescent="0.25">
      <c r="A52" s="10">
        <v>47</v>
      </c>
      <c r="B52" s="42"/>
      <c r="C52" s="42"/>
      <c r="D52" s="42"/>
      <c r="E52" s="42"/>
      <c r="F52" s="87"/>
      <c r="G52" s="88"/>
    </row>
    <row r="53" spans="1:7" x14ac:dyDescent="0.25">
      <c r="A53" s="10">
        <v>48</v>
      </c>
      <c r="B53" s="42"/>
      <c r="C53" s="42"/>
      <c r="D53" s="42"/>
      <c r="E53" s="42"/>
      <c r="F53" s="87"/>
      <c r="G53" s="88"/>
    </row>
    <row r="54" spans="1:7" x14ac:dyDescent="0.25">
      <c r="A54" s="10">
        <v>49</v>
      </c>
      <c r="B54" s="42"/>
      <c r="C54" s="42"/>
      <c r="D54" s="42"/>
      <c r="E54" s="42"/>
      <c r="F54" s="87"/>
      <c r="G54" s="88"/>
    </row>
    <row r="55" spans="1:7" x14ac:dyDescent="0.25">
      <c r="A55" s="10">
        <v>50</v>
      </c>
      <c r="B55" s="42"/>
      <c r="C55" s="42"/>
      <c r="D55" s="42"/>
      <c r="E55" s="42"/>
      <c r="F55" s="87"/>
      <c r="G55" s="88"/>
    </row>
    <row r="56" spans="1:7" x14ac:dyDescent="0.25">
      <c r="A56" s="10">
        <v>51</v>
      </c>
      <c r="B56" s="42"/>
      <c r="C56" s="42"/>
      <c r="D56" s="42"/>
      <c r="E56" s="42"/>
      <c r="F56" s="87"/>
      <c r="G56" s="88"/>
    </row>
    <row r="57" spans="1:7" x14ac:dyDescent="0.25">
      <c r="A57" s="10">
        <v>52</v>
      </c>
      <c r="B57" s="42"/>
      <c r="C57" s="42"/>
      <c r="D57" s="42"/>
      <c r="E57" s="42"/>
      <c r="F57" s="87"/>
      <c r="G57" s="88"/>
    </row>
    <row r="58" spans="1:7" x14ac:dyDescent="0.25">
      <c r="A58" s="10">
        <v>53</v>
      </c>
      <c r="B58" s="42"/>
      <c r="C58" s="42"/>
      <c r="D58" s="42"/>
      <c r="E58" s="42"/>
      <c r="F58" s="87"/>
      <c r="G58" s="88"/>
    </row>
    <row r="59" spans="1:7" x14ac:dyDescent="0.25">
      <c r="A59" s="10">
        <v>54</v>
      </c>
      <c r="B59" s="42"/>
      <c r="C59" s="42"/>
      <c r="D59" s="42"/>
      <c r="E59" s="42"/>
      <c r="F59" s="87"/>
      <c r="G59" s="88"/>
    </row>
    <row r="60" spans="1:7" x14ac:dyDescent="0.25">
      <c r="A60" s="10">
        <v>55</v>
      </c>
      <c r="B60" s="42"/>
      <c r="C60" s="42"/>
      <c r="D60" s="42"/>
      <c r="E60" s="42"/>
      <c r="F60" s="87"/>
      <c r="G60" s="88"/>
    </row>
    <row r="61" spans="1:7" x14ac:dyDescent="0.25">
      <c r="A61" s="10">
        <v>56</v>
      </c>
      <c r="B61" s="42"/>
      <c r="C61" s="42"/>
      <c r="D61" s="42"/>
      <c r="E61" s="42"/>
      <c r="F61" s="87"/>
      <c r="G61" s="88"/>
    </row>
    <row r="62" spans="1:7" x14ac:dyDescent="0.25">
      <c r="A62" s="10">
        <v>57</v>
      </c>
      <c r="B62" s="42"/>
      <c r="C62" s="42"/>
      <c r="D62" s="42"/>
      <c r="E62" s="42"/>
      <c r="F62" s="87"/>
      <c r="G62" s="88"/>
    </row>
    <row r="63" spans="1:7" x14ac:dyDescent="0.25">
      <c r="A63" s="10">
        <v>58</v>
      </c>
      <c r="B63" s="42"/>
      <c r="C63" s="42"/>
      <c r="D63" s="42"/>
      <c r="E63" s="42"/>
      <c r="F63" s="87"/>
      <c r="G63" s="88"/>
    </row>
    <row r="64" spans="1:7" x14ac:dyDescent="0.25">
      <c r="A64" s="10">
        <v>59</v>
      </c>
      <c r="B64" s="42"/>
      <c r="C64" s="42"/>
      <c r="D64" s="42"/>
      <c r="E64" s="42"/>
      <c r="F64" s="87"/>
      <c r="G64" s="88"/>
    </row>
    <row r="65" spans="1:7" x14ac:dyDescent="0.25">
      <c r="A65" s="10">
        <v>60</v>
      </c>
      <c r="B65" s="42"/>
      <c r="C65" s="42"/>
      <c r="D65" s="42"/>
      <c r="E65" s="42"/>
      <c r="F65" s="87"/>
      <c r="G65" s="88"/>
    </row>
    <row r="66" spans="1:7" x14ac:dyDescent="0.25">
      <c r="A66" s="10">
        <v>61</v>
      </c>
      <c r="B66" s="42"/>
      <c r="C66" s="42"/>
      <c r="D66" s="42"/>
      <c r="E66" s="42"/>
      <c r="F66" s="87"/>
      <c r="G66" s="88"/>
    </row>
    <row r="67" spans="1:7" x14ac:dyDescent="0.25">
      <c r="A67" s="10">
        <v>62</v>
      </c>
      <c r="B67" s="37"/>
      <c r="C67" s="37"/>
      <c r="D67" s="37"/>
      <c r="E67" s="37"/>
      <c r="F67" s="89"/>
      <c r="G67" s="90"/>
    </row>
    <row r="68" spans="1:7" x14ac:dyDescent="0.25">
      <c r="A68" s="10">
        <v>63</v>
      </c>
      <c r="B68" s="37"/>
      <c r="C68" s="37"/>
      <c r="D68" s="37"/>
      <c r="E68" s="37"/>
      <c r="F68" s="89"/>
      <c r="G68" s="90"/>
    </row>
    <row r="69" spans="1:7" x14ac:dyDescent="0.25">
      <c r="A69" s="10">
        <v>64</v>
      </c>
      <c r="B69" s="37"/>
      <c r="C69" s="37"/>
      <c r="D69" s="37"/>
      <c r="E69" s="37"/>
      <c r="F69" s="89"/>
      <c r="G69" s="90"/>
    </row>
    <row r="70" spans="1:7" x14ac:dyDescent="0.25">
      <c r="A70" s="10">
        <v>65</v>
      </c>
      <c r="B70" s="5"/>
      <c r="C70" s="5"/>
      <c r="D70" s="5"/>
      <c r="E70" s="5"/>
      <c r="F70" s="75"/>
      <c r="G70" s="76"/>
    </row>
    <row r="71" spans="1:7" x14ac:dyDescent="0.25">
      <c r="A71" s="10">
        <v>66</v>
      </c>
      <c r="B71" s="5"/>
      <c r="C71" s="5"/>
      <c r="D71" s="5"/>
      <c r="E71" s="5"/>
      <c r="F71" s="75"/>
      <c r="G71" s="76"/>
    </row>
    <row r="72" spans="1:7" x14ac:dyDescent="0.25">
      <c r="A72" s="10">
        <v>67</v>
      </c>
      <c r="B72" s="5"/>
      <c r="C72" s="5"/>
      <c r="D72" s="5"/>
      <c r="E72" s="5"/>
      <c r="F72" s="75"/>
      <c r="G72" s="76"/>
    </row>
    <row r="73" spans="1:7" x14ac:dyDescent="0.25">
      <c r="A73" s="10">
        <v>68</v>
      </c>
      <c r="B73" s="5"/>
      <c r="C73" s="5"/>
      <c r="D73" s="5"/>
      <c r="E73" s="5"/>
      <c r="F73" s="75"/>
      <c r="G73" s="76"/>
    </row>
    <row r="74" spans="1:7" x14ac:dyDescent="0.25">
      <c r="A74" s="10">
        <v>69</v>
      </c>
      <c r="B74" s="5"/>
      <c r="C74" s="5"/>
      <c r="D74" s="5"/>
      <c r="E74" s="5"/>
      <c r="F74" s="75"/>
      <c r="G74" s="76"/>
    </row>
    <row r="75" spans="1:7" x14ac:dyDescent="0.25">
      <c r="A75" s="10">
        <v>70</v>
      </c>
      <c r="B75" s="5"/>
      <c r="C75" s="5"/>
      <c r="D75" s="5"/>
      <c r="E75" s="5"/>
      <c r="F75" s="75"/>
      <c r="G75" s="76"/>
    </row>
    <row r="76" spans="1:7" x14ac:dyDescent="0.25">
      <c r="A76" s="10">
        <v>71</v>
      </c>
      <c r="B76" s="5"/>
      <c r="C76" s="5"/>
      <c r="D76" s="5"/>
      <c r="E76" s="5"/>
      <c r="F76" s="75"/>
      <c r="G76" s="76"/>
    </row>
    <row r="77" spans="1:7" x14ac:dyDescent="0.25">
      <c r="A77" s="10">
        <v>72</v>
      </c>
      <c r="B77" s="5"/>
      <c r="C77" s="5"/>
      <c r="D77" s="5"/>
      <c r="E77" s="5"/>
      <c r="F77" s="75"/>
      <c r="G77" s="76"/>
    </row>
    <row r="78" spans="1:7" x14ac:dyDescent="0.25">
      <c r="A78" s="10">
        <v>73</v>
      </c>
      <c r="B78" s="5"/>
      <c r="C78" s="5"/>
      <c r="D78" s="5"/>
      <c r="E78" s="5"/>
      <c r="F78" s="75"/>
      <c r="G78" s="76"/>
    </row>
    <row r="79" spans="1:7" x14ac:dyDescent="0.25">
      <c r="A79" s="10">
        <v>74</v>
      </c>
      <c r="B79" s="5"/>
      <c r="C79" s="5"/>
      <c r="D79" s="5"/>
      <c r="E79" s="5"/>
      <c r="F79" s="75"/>
      <c r="G79" s="76"/>
    </row>
    <row r="80" spans="1:7" x14ac:dyDescent="0.25">
      <c r="A80" s="10">
        <v>75</v>
      </c>
      <c r="B80" s="5"/>
      <c r="C80" s="5"/>
      <c r="D80" s="5"/>
      <c r="E80" s="5"/>
      <c r="F80" s="75"/>
      <c r="G80" s="76"/>
    </row>
    <row r="81" spans="1:7" x14ac:dyDescent="0.25">
      <c r="A81" s="10">
        <v>76</v>
      </c>
      <c r="B81" s="5"/>
      <c r="C81" s="5"/>
      <c r="D81" s="5"/>
      <c r="E81" s="5"/>
      <c r="F81" s="75"/>
      <c r="G81" s="76"/>
    </row>
    <row r="82" spans="1:7" x14ac:dyDescent="0.25">
      <c r="A82" s="10">
        <v>77</v>
      </c>
      <c r="B82" s="5"/>
      <c r="C82" s="5"/>
      <c r="D82" s="5"/>
      <c r="E82" s="5"/>
      <c r="F82" s="75"/>
      <c r="G82" s="76"/>
    </row>
    <row r="83" spans="1:7" x14ac:dyDescent="0.25">
      <c r="A83" s="10">
        <v>78</v>
      </c>
      <c r="B83" s="5"/>
      <c r="C83" s="5"/>
      <c r="D83" s="5"/>
      <c r="E83" s="5"/>
      <c r="F83" s="75"/>
      <c r="G83" s="76"/>
    </row>
    <row r="84" spans="1:7" x14ac:dyDescent="0.25">
      <c r="A84" s="10">
        <v>79</v>
      </c>
      <c r="B84" s="5"/>
      <c r="C84" s="5"/>
      <c r="D84" s="5"/>
      <c r="E84" s="5"/>
      <c r="F84" s="75"/>
      <c r="G84" s="76"/>
    </row>
    <row r="85" spans="1:7" x14ac:dyDescent="0.25">
      <c r="A85" s="10">
        <v>80</v>
      </c>
      <c r="B85" s="5"/>
      <c r="C85" s="5"/>
      <c r="D85" s="5"/>
      <c r="E85" s="5"/>
      <c r="F85" s="75"/>
      <c r="G85" s="76"/>
    </row>
    <row r="86" spans="1:7" x14ac:dyDescent="0.25">
      <c r="A86" s="10">
        <v>81</v>
      </c>
      <c r="B86" s="5"/>
      <c r="C86" s="5"/>
      <c r="D86" s="5"/>
      <c r="E86" s="5"/>
      <c r="F86" s="75"/>
      <c r="G86" s="76"/>
    </row>
    <row r="87" spans="1:7" x14ac:dyDescent="0.25">
      <c r="A87" s="10">
        <v>82</v>
      </c>
      <c r="B87" s="5"/>
      <c r="C87" s="5"/>
      <c r="D87" s="5"/>
      <c r="E87" s="5"/>
      <c r="F87" s="75"/>
      <c r="G87" s="76"/>
    </row>
    <row r="88" spans="1:7" x14ac:dyDescent="0.25">
      <c r="A88" s="10">
        <v>83</v>
      </c>
      <c r="B88" s="5"/>
      <c r="C88" s="5"/>
      <c r="D88" s="5"/>
      <c r="E88" s="5"/>
      <c r="F88" s="75"/>
      <c r="G88" s="76"/>
    </row>
    <row r="89" spans="1:7" x14ac:dyDescent="0.25">
      <c r="A89" s="10">
        <v>84</v>
      </c>
      <c r="B89" s="5"/>
      <c r="C89" s="5"/>
      <c r="D89" s="5"/>
      <c r="E89" s="5"/>
      <c r="F89" s="75"/>
      <c r="G89" s="76"/>
    </row>
    <row r="90" spans="1:7" x14ac:dyDescent="0.25">
      <c r="A90" s="10">
        <v>85</v>
      </c>
      <c r="B90" s="5"/>
      <c r="C90" s="5"/>
      <c r="D90" s="5"/>
      <c r="E90" s="5"/>
      <c r="F90" s="75"/>
      <c r="G90" s="76"/>
    </row>
    <row r="91" spans="1:7" x14ac:dyDescent="0.25">
      <c r="A91" s="10">
        <v>86</v>
      </c>
      <c r="B91" s="5"/>
      <c r="C91" s="5"/>
      <c r="D91" s="5"/>
      <c r="E91" s="5"/>
      <c r="F91" s="75"/>
      <c r="G91" s="76"/>
    </row>
    <row r="92" spans="1:7" x14ac:dyDescent="0.25">
      <c r="A92" s="10">
        <v>87</v>
      </c>
      <c r="B92" s="5"/>
      <c r="C92" s="5"/>
      <c r="D92" s="5"/>
      <c r="E92" s="5"/>
      <c r="F92" s="75"/>
      <c r="G92" s="76"/>
    </row>
    <row r="93" spans="1:7" x14ac:dyDescent="0.25">
      <c r="A93" s="10">
        <v>88</v>
      </c>
      <c r="B93" s="5"/>
      <c r="C93" s="5"/>
      <c r="D93" s="5"/>
      <c r="E93" s="5"/>
      <c r="F93" s="75"/>
      <c r="G93" s="76"/>
    </row>
    <row r="94" spans="1:7" x14ac:dyDescent="0.25">
      <c r="A94" s="10">
        <v>89</v>
      </c>
      <c r="B94" s="5"/>
      <c r="C94" s="5"/>
      <c r="D94" s="5"/>
      <c r="E94" s="5"/>
      <c r="F94" s="75"/>
      <c r="G94" s="76"/>
    </row>
    <row r="95" spans="1:7" x14ac:dyDescent="0.25">
      <c r="A95" s="10">
        <v>90</v>
      </c>
      <c r="B95" s="5"/>
      <c r="C95" s="5"/>
      <c r="D95" s="5"/>
      <c r="E95" s="5"/>
      <c r="F95" s="75"/>
      <c r="G95" s="76"/>
    </row>
    <row r="96" spans="1:7" x14ac:dyDescent="0.25">
      <c r="A96" s="10">
        <v>91</v>
      </c>
      <c r="B96" s="5"/>
      <c r="C96" s="5"/>
      <c r="D96" s="5"/>
      <c r="E96" s="5"/>
      <c r="F96" s="75"/>
      <c r="G96" s="76"/>
    </row>
    <row r="97" spans="1:7" x14ac:dyDescent="0.25">
      <c r="A97" s="10">
        <v>92</v>
      </c>
      <c r="B97" s="5"/>
      <c r="C97" s="5"/>
      <c r="D97" s="5"/>
      <c r="E97" s="5"/>
      <c r="F97" s="75"/>
      <c r="G97" s="76"/>
    </row>
    <row r="98" spans="1:7" x14ac:dyDescent="0.25">
      <c r="A98" s="10">
        <v>93</v>
      </c>
      <c r="B98" s="5"/>
      <c r="C98" s="5"/>
      <c r="D98" s="5"/>
      <c r="E98" s="5"/>
      <c r="F98" s="75"/>
      <c r="G98" s="76"/>
    </row>
    <row r="99" spans="1:7" x14ac:dyDescent="0.25">
      <c r="A99" s="10">
        <v>94</v>
      </c>
      <c r="B99" s="5"/>
      <c r="C99" s="5"/>
      <c r="D99" s="5"/>
      <c r="E99" s="5"/>
      <c r="F99" s="75"/>
      <c r="G99" s="76"/>
    </row>
    <row r="100" spans="1:7" x14ac:dyDescent="0.25">
      <c r="A100" s="10">
        <v>95</v>
      </c>
      <c r="B100" s="5"/>
      <c r="C100" s="5"/>
      <c r="D100" s="5"/>
      <c r="E100" s="5"/>
      <c r="F100" s="75"/>
      <c r="G100" s="76"/>
    </row>
    <row r="101" spans="1:7" x14ac:dyDescent="0.25">
      <c r="A101" s="10">
        <v>96</v>
      </c>
      <c r="B101" s="5"/>
      <c r="C101" s="5"/>
      <c r="D101" s="5"/>
      <c r="E101" s="5"/>
      <c r="F101" s="75"/>
      <c r="G101" s="76"/>
    </row>
    <row r="102" spans="1:7" x14ac:dyDescent="0.25">
      <c r="A102" s="10">
        <v>97</v>
      </c>
      <c r="B102" s="5"/>
      <c r="C102" s="5"/>
      <c r="D102" s="5"/>
      <c r="E102" s="5"/>
      <c r="F102" s="75"/>
      <c r="G102" s="76"/>
    </row>
    <row r="103" spans="1:7" x14ac:dyDescent="0.25">
      <c r="A103" s="10">
        <v>98</v>
      </c>
      <c r="B103" s="5"/>
      <c r="C103" s="5"/>
      <c r="D103" s="5"/>
      <c r="E103" s="5"/>
      <c r="F103" s="75"/>
      <c r="G103" s="76"/>
    </row>
    <row r="104" spans="1:7" x14ac:dyDescent="0.25">
      <c r="A104" s="10">
        <v>99</v>
      </c>
      <c r="B104" s="5"/>
      <c r="C104" s="5"/>
      <c r="D104" s="5"/>
      <c r="E104" s="5"/>
      <c r="F104" s="75"/>
      <c r="G104" s="76"/>
    </row>
    <row r="105" spans="1:7" x14ac:dyDescent="0.25">
      <c r="A105" s="10">
        <v>100</v>
      </c>
      <c r="B105" s="5"/>
      <c r="C105" s="5"/>
      <c r="D105" s="5"/>
      <c r="E105" s="5"/>
      <c r="F105" s="75"/>
      <c r="G105" s="76"/>
    </row>
    <row r="106" spans="1:7" x14ac:dyDescent="0.25">
      <c r="A106" s="10">
        <v>101</v>
      </c>
      <c r="B106" s="5"/>
      <c r="C106" s="5"/>
      <c r="D106" s="5"/>
      <c r="E106" s="5"/>
      <c r="F106" s="75"/>
      <c r="G106" s="76"/>
    </row>
    <row r="107" spans="1:7" x14ac:dyDescent="0.25">
      <c r="A107" s="10">
        <v>102</v>
      </c>
      <c r="B107" s="5"/>
      <c r="C107" s="5"/>
      <c r="D107" s="5"/>
      <c r="E107" s="5"/>
      <c r="F107" s="75"/>
      <c r="G107" s="76"/>
    </row>
    <row r="108" spans="1:7" x14ac:dyDescent="0.25">
      <c r="A108" s="10">
        <v>103</v>
      </c>
      <c r="B108" s="5"/>
      <c r="C108" s="5"/>
      <c r="D108" s="5"/>
      <c r="E108" s="5"/>
      <c r="F108" s="75"/>
      <c r="G108" s="76"/>
    </row>
    <row r="109" spans="1:7" x14ac:dyDescent="0.25">
      <c r="A109" s="10">
        <v>104</v>
      </c>
      <c r="B109" s="5"/>
      <c r="C109" s="5"/>
      <c r="D109" s="5"/>
      <c r="E109" s="5"/>
      <c r="F109" s="75"/>
      <c r="G109" s="76"/>
    </row>
    <row r="110" spans="1:7" x14ac:dyDescent="0.25">
      <c r="A110" s="10">
        <v>105</v>
      </c>
      <c r="B110" s="5"/>
      <c r="C110" s="5"/>
      <c r="D110" s="5"/>
      <c r="E110" s="5"/>
      <c r="F110" s="75"/>
      <c r="G110" s="76"/>
    </row>
    <row r="111" spans="1:7" x14ac:dyDescent="0.25">
      <c r="A111" s="10">
        <v>106</v>
      </c>
      <c r="B111" s="5"/>
      <c r="C111" s="5"/>
      <c r="D111" s="5"/>
      <c r="E111" s="5"/>
      <c r="F111" s="75"/>
      <c r="G111" s="76"/>
    </row>
    <row r="112" spans="1:7" x14ac:dyDescent="0.25">
      <c r="A112" s="10">
        <v>107</v>
      </c>
      <c r="B112" s="5"/>
      <c r="C112" s="5"/>
      <c r="D112" s="5"/>
      <c r="E112" s="5"/>
      <c r="F112" s="75"/>
      <c r="G112" s="76"/>
    </row>
    <row r="113" spans="1:7" x14ac:dyDescent="0.25">
      <c r="A113" s="10">
        <v>108</v>
      </c>
      <c r="B113" s="5"/>
      <c r="C113" s="5"/>
      <c r="D113" s="5"/>
      <c r="E113" s="5"/>
      <c r="F113" s="75"/>
      <c r="G113" s="76"/>
    </row>
    <row r="114" spans="1:7" x14ac:dyDescent="0.25">
      <c r="A114" s="10">
        <v>109</v>
      </c>
      <c r="B114" s="5"/>
      <c r="C114" s="5"/>
      <c r="D114" s="5"/>
      <c r="E114" s="5"/>
      <c r="F114" s="75"/>
      <c r="G114" s="76"/>
    </row>
    <row r="115" spans="1:7" x14ac:dyDescent="0.25">
      <c r="A115" s="10">
        <v>110</v>
      </c>
      <c r="B115" s="5"/>
      <c r="C115" s="5"/>
      <c r="D115" s="5"/>
      <c r="E115" s="5"/>
      <c r="F115" s="75"/>
      <c r="G115" s="76"/>
    </row>
    <row r="116" spans="1:7" x14ac:dyDescent="0.25">
      <c r="A116" s="10">
        <v>111</v>
      </c>
      <c r="B116" s="5"/>
      <c r="C116" s="5"/>
      <c r="D116" s="5"/>
      <c r="E116" s="5"/>
      <c r="F116" s="75"/>
      <c r="G116" s="76"/>
    </row>
    <row r="117" spans="1:7" x14ac:dyDescent="0.25">
      <c r="A117" s="10">
        <v>112</v>
      </c>
      <c r="B117" s="5"/>
      <c r="C117" s="5"/>
      <c r="D117" s="5"/>
      <c r="E117" s="5"/>
      <c r="F117" s="75"/>
      <c r="G117" s="76"/>
    </row>
    <row r="118" spans="1:7" x14ac:dyDescent="0.25">
      <c r="A118" s="10">
        <v>113</v>
      </c>
      <c r="B118" s="5"/>
      <c r="C118" s="5"/>
      <c r="D118" s="5"/>
      <c r="E118" s="5"/>
      <c r="F118" s="75"/>
      <c r="G118" s="76"/>
    </row>
    <row r="119" spans="1:7" x14ac:dyDescent="0.25">
      <c r="A119" s="10">
        <v>114</v>
      </c>
      <c r="B119" s="5"/>
      <c r="C119" s="5"/>
      <c r="D119" s="5"/>
      <c r="E119" s="5"/>
      <c r="F119" s="75"/>
      <c r="G119" s="76"/>
    </row>
    <row r="120" spans="1:7" x14ac:dyDescent="0.25">
      <c r="A120" s="10">
        <v>115</v>
      </c>
      <c r="B120" s="5"/>
      <c r="C120" s="5"/>
      <c r="D120" s="5"/>
      <c r="E120" s="5"/>
      <c r="F120" s="75"/>
      <c r="G120" s="76"/>
    </row>
    <row r="121" spans="1:7" x14ac:dyDescent="0.25">
      <c r="A121" s="10">
        <v>116</v>
      </c>
      <c r="B121" s="5"/>
      <c r="C121" s="5"/>
      <c r="D121" s="5"/>
      <c r="E121" s="5"/>
      <c r="F121" s="75"/>
      <c r="G121" s="76"/>
    </row>
    <row r="122" spans="1:7" x14ac:dyDescent="0.25">
      <c r="A122" s="10">
        <v>117</v>
      </c>
      <c r="B122" s="5"/>
      <c r="C122" s="5"/>
      <c r="D122" s="5"/>
      <c r="E122" s="5"/>
      <c r="F122" s="75"/>
      <c r="G122" s="76"/>
    </row>
    <row r="123" spans="1:7" x14ac:dyDescent="0.25">
      <c r="A123" s="10">
        <v>118</v>
      </c>
      <c r="B123" s="5"/>
      <c r="C123" s="5"/>
      <c r="D123" s="5"/>
      <c r="E123" s="5"/>
      <c r="F123" s="75"/>
      <c r="G123" s="76"/>
    </row>
    <row r="124" spans="1:7" x14ac:dyDescent="0.25">
      <c r="A124" s="10">
        <v>119</v>
      </c>
      <c r="B124" s="5"/>
      <c r="C124" s="5"/>
      <c r="D124" s="5"/>
      <c r="E124" s="5"/>
      <c r="F124" s="75"/>
      <c r="G124" s="76"/>
    </row>
    <row r="125" spans="1:7" x14ac:dyDescent="0.25">
      <c r="A125" s="10">
        <v>120</v>
      </c>
      <c r="B125" s="5"/>
      <c r="C125" s="5"/>
      <c r="D125" s="5"/>
      <c r="E125" s="5"/>
      <c r="F125" s="75"/>
      <c r="G125" s="76"/>
    </row>
    <row r="126" spans="1:7" x14ac:dyDescent="0.25">
      <c r="A126" s="10">
        <v>121</v>
      </c>
      <c r="B126" s="5"/>
      <c r="C126" s="5"/>
      <c r="D126" s="5"/>
      <c r="E126" s="5"/>
      <c r="F126" s="75"/>
      <c r="G126" s="76"/>
    </row>
    <row r="127" spans="1:7" x14ac:dyDescent="0.25">
      <c r="A127" s="10">
        <v>122</v>
      </c>
      <c r="B127" s="5"/>
      <c r="C127" s="5"/>
      <c r="D127" s="5"/>
      <c r="E127" s="5"/>
      <c r="F127" s="75"/>
      <c r="G127" s="76"/>
    </row>
    <row r="128" spans="1:7" x14ac:dyDescent="0.25">
      <c r="A128" s="10">
        <v>123</v>
      </c>
      <c r="B128" s="5"/>
      <c r="C128" s="5"/>
      <c r="D128" s="5"/>
      <c r="E128" s="5"/>
      <c r="F128" s="75"/>
      <c r="G128" s="76"/>
    </row>
    <row r="129" spans="1:7" x14ac:dyDescent="0.25">
      <c r="A129" s="10">
        <v>124</v>
      </c>
      <c r="B129" s="5"/>
      <c r="C129" s="5"/>
      <c r="D129" s="5"/>
      <c r="E129" s="5"/>
      <c r="F129" s="75"/>
      <c r="G129" s="76"/>
    </row>
    <row r="130" spans="1:7" x14ac:dyDescent="0.25">
      <c r="A130" s="10">
        <v>125</v>
      </c>
      <c r="B130" s="5"/>
      <c r="C130" s="5"/>
      <c r="D130" s="5"/>
      <c r="E130" s="5"/>
      <c r="F130" s="75"/>
      <c r="G130" s="76"/>
    </row>
    <row r="131" spans="1:7" x14ac:dyDescent="0.25">
      <c r="A131" s="10">
        <v>126</v>
      </c>
      <c r="B131" s="5"/>
      <c r="C131" s="5"/>
      <c r="D131" s="5"/>
      <c r="E131" s="5"/>
      <c r="F131" s="75"/>
      <c r="G131" s="76"/>
    </row>
    <row r="132" spans="1:7" x14ac:dyDescent="0.25">
      <c r="A132" s="10">
        <v>127</v>
      </c>
      <c r="B132" s="5"/>
      <c r="C132" s="5"/>
      <c r="D132" s="5"/>
      <c r="E132" s="5"/>
      <c r="F132" s="75"/>
      <c r="G132" s="76"/>
    </row>
    <row r="133" spans="1:7" x14ac:dyDescent="0.25">
      <c r="A133" s="10">
        <v>128</v>
      </c>
      <c r="B133" s="5"/>
      <c r="C133" s="5"/>
      <c r="D133" s="5"/>
      <c r="E133" s="5"/>
      <c r="F133" s="75"/>
      <c r="G133" s="76"/>
    </row>
    <row r="134" spans="1:7" x14ac:dyDescent="0.25">
      <c r="A134" s="10">
        <v>129</v>
      </c>
      <c r="B134" s="5"/>
      <c r="C134" s="5"/>
      <c r="D134" s="5"/>
      <c r="E134" s="5"/>
      <c r="F134" s="75"/>
      <c r="G134" s="76"/>
    </row>
    <row r="135" spans="1:7" x14ac:dyDescent="0.25">
      <c r="A135" s="10">
        <v>130</v>
      </c>
      <c r="B135" s="5"/>
      <c r="C135" s="5"/>
      <c r="D135" s="5"/>
      <c r="E135" s="5"/>
      <c r="F135" s="75"/>
      <c r="G135" s="76"/>
    </row>
    <row r="136" spans="1:7" x14ac:dyDescent="0.25">
      <c r="A136" s="10">
        <v>131</v>
      </c>
      <c r="B136" s="5"/>
      <c r="C136" s="5"/>
      <c r="D136" s="5"/>
      <c r="E136" s="5"/>
      <c r="F136" s="75"/>
      <c r="G136" s="76"/>
    </row>
    <row r="137" spans="1:7" x14ac:dyDescent="0.25">
      <c r="A137" s="10">
        <v>132</v>
      </c>
      <c r="B137" s="5"/>
      <c r="C137" s="5"/>
      <c r="D137" s="5"/>
      <c r="E137" s="5"/>
      <c r="F137" s="75"/>
      <c r="G137" s="76"/>
    </row>
    <row r="138" spans="1:7" x14ac:dyDescent="0.25">
      <c r="A138" s="10">
        <v>133</v>
      </c>
      <c r="B138" s="5"/>
      <c r="C138" s="5"/>
      <c r="D138" s="5"/>
      <c r="E138" s="5"/>
      <c r="F138" s="75"/>
      <c r="G138" s="76"/>
    </row>
    <row r="139" spans="1:7" x14ac:dyDescent="0.25">
      <c r="A139" s="10">
        <v>134</v>
      </c>
      <c r="B139" s="5"/>
      <c r="C139" s="5"/>
      <c r="D139" s="5"/>
      <c r="E139" s="5"/>
      <c r="F139" s="75"/>
      <c r="G139" s="76"/>
    </row>
    <row r="140" spans="1:7" x14ac:dyDescent="0.25">
      <c r="A140" s="10">
        <v>135</v>
      </c>
      <c r="B140" s="5"/>
      <c r="C140" s="5"/>
      <c r="D140" s="5"/>
      <c r="E140" s="5"/>
      <c r="F140" s="75"/>
      <c r="G140" s="76"/>
    </row>
    <row r="141" spans="1:7" x14ac:dyDescent="0.25">
      <c r="A141" s="10">
        <v>136</v>
      </c>
      <c r="B141" s="5"/>
      <c r="C141" s="5"/>
      <c r="D141" s="5"/>
      <c r="E141" s="5"/>
      <c r="F141" s="75"/>
      <c r="G141" s="76"/>
    </row>
    <row r="142" spans="1:7" x14ac:dyDescent="0.25">
      <c r="A142" s="10">
        <v>137</v>
      </c>
      <c r="B142" s="5"/>
      <c r="C142" s="5"/>
      <c r="D142" s="5"/>
      <c r="E142" s="5"/>
      <c r="F142" s="75"/>
      <c r="G142" s="76"/>
    </row>
    <row r="143" spans="1:7" x14ac:dyDescent="0.25">
      <c r="A143" s="10">
        <v>138</v>
      </c>
      <c r="B143" s="5"/>
      <c r="C143" s="5"/>
      <c r="D143" s="5"/>
      <c r="E143" s="5"/>
      <c r="F143" s="75"/>
      <c r="G143" s="76"/>
    </row>
    <row r="144" spans="1:7" x14ac:dyDescent="0.25">
      <c r="A144" s="10">
        <v>139</v>
      </c>
      <c r="B144" s="5"/>
      <c r="C144" s="5"/>
      <c r="D144" s="5"/>
      <c r="E144" s="5"/>
      <c r="F144" s="75"/>
      <c r="G144" s="76"/>
    </row>
    <row r="145" spans="1:7" x14ac:dyDescent="0.25">
      <c r="A145" s="10">
        <v>140</v>
      </c>
      <c r="B145" s="5"/>
      <c r="C145" s="5"/>
      <c r="D145" s="5"/>
      <c r="E145" s="5"/>
      <c r="F145" s="75"/>
      <c r="G145" s="76"/>
    </row>
    <row r="146" spans="1:7" x14ac:dyDescent="0.25">
      <c r="A146" s="10">
        <v>141</v>
      </c>
      <c r="B146" s="5"/>
      <c r="C146" s="5"/>
      <c r="D146" s="5"/>
      <c r="E146" s="5"/>
      <c r="F146" s="75"/>
      <c r="G146" s="76"/>
    </row>
    <row r="147" spans="1:7" x14ac:dyDescent="0.25">
      <c r="A147" s="10">
        <v>142</v>
      </c>
      <c r="B147" s="5"/>
      <c r="C147" s="5"/>
      <c r="D147" s="5"/>
      <c r="E147" s="5"/>
      <c r="F147" s="75"/>
      <c r="G147" s="76"/>
    </row>
    <row r="148" spans="1:7" x14ac:dyDescent="0.25">
      <c r="A148" s="10">
        <v>143</v>
      </c>
      <c r="B148" s="5"/>
      <c r="C148" s="5"/>
      <c r="D148" s="5"/>
      <c r="E148" s="5"/>
      <c r="F148" s="75"/>
      <c r="G148" s="76"/>
    </row>
    <row r="149" spans="1:7" x14ac:dyDescent="0.25">
      <c r="A149" s="10">
        <v>144</v>
      </c>
      <c r="B149" s="5"/>
      <c r="C149" s="5"/>
      <c r="D149" s="5"/>
      <c r="E149" s="5"/>
      <c r="F149" s="75"/>
      <c r="G149" s="76"/>
    </row>
    <row r="150" spans="1:7" x14ac:dyDescent="0.25">
      <c r="A150" s="10">
        <v>145</v>
      </c>
      <c r="B150" s="5"/>
      <c r="C150" s="5"/>
      <c r="D150" s="5"/>
      <c r="E150" s="5"/>
      <c r="F150" s="75"/>
      <c r="G150" s="76"/>
    </row>
    <row r="151" spans="1:7" x14ac:dyDescent="0.25">
      <c r="A151" s="10">
        <v>146</v>
      </c>
      <c r="B151" s="5"/>
      <c r="C151" s="5"/>
      <c r="D151" s="5"/>
      <c r="E151" s="5"/>
      <c r="F151" s="75"/>
      <c r="G151" s="76"/>
    </row>
    <row r="152" spans="1:7" x14ac:dyDescent="0.25">
      <c r="A152" s="10">
        <v>147</v>
      </c>
      <c r="B152" s="5"/>
      <c r="C152" s="5"/>
      <c r="D152" s="5"/>
      <c r="E152" s="5"/>
      <c r="F152" s="75"/>
      <c r="G152" s="76"/>
    </row>
    <row r="153" spans="1:7" x14ac:dyDescent="0.25">
      <c r="A153" s="10">
        <v>148</v>
      </c>
      <c r="B153" s="5"/>
      <c r="C153" s="5"/>
      <c r="D153" s="5"/>
      <c r="E153" s="5"/>
      <c r="F153" s="75"/>
      <c r="G153" s="76"/>
    </row>
    <row r="154" spans="1:7" x14ac:dyDescent="0.25">
      <c r="A154" s="10">
        <v>149</v>
      </c>
      <c r="B154" s="5"/>
      <c r="C154" s="5"/>
      <c r="D154" s="5"/>
      <c r="E154" s="5"/>
      <c r="F154" s="75"/>
      <c r="G154" s="76"/>
    </row>
    <row r="155" spans="1:7" x14ac:dyDescent="0.25">
      <c r="A155" s="10">
        <v>150</v>
      </c>
      <c r="B155" s="5"/>
      <c r="C155" s="5"/>
      <c r="D155" s="5"/>
      <c r="E155" s="5"/>
      <c r="F155" s="75"/>
      <c r="G155" s="76"/>
    </row>
    <row r="156" spans="1:7" x14ac:dyDescent="0.25">
      <c r="A156" s="10">
        <v>151</v>
      </c>
      <c r="B156" s="5"/>
      <c r="C156" s="5"/>
      <c r="D156" s="5"/>
      <c r="E156" s="5"/>
      <c r="F156" s="75"/>
      <c r="G156" s="76"/>
    </row>
    <row r="157" spans="1:7" x14ac:dyDescent="0.25">
      <c r="A157" s="10">
        <v>152</v>
      </c>
      <c r="B157" s="5"/>
      <c r="C157" s="5"/>
      <c r="D157" s="5"/>
      <c r="E157" s="5"/>
      <c r="F157" s="75"/>
      <c r="G157" s="76"/>
    </row>
    <row r="158" spans="1:7" x14ac:dyDescent="0.25">
      <c r="A158" s="10">
        <v>153</v>
      </c>
      <c r="B158" s="5"/>
      <c r="C158" s="5"/>
      <c r="D158" s="5"/>
      <c r="E158" s="5"/>
      <c r="F158" s="75"/>
      <c r="G158" s="76"/>
    </row>
    <row r="159" spans="1:7" x14ac:dyDescent="0.25">
      <c r="A159" s="10">
        <v>154</v>
      </c>
      <c r="B159" s="5"/>
      <c r="C159" s="5"/>
      <c r="D159" s="5"/>
      <c r="E159" s="5"/>
      <c r="F159" s="75"/>
      <c r="G159" s="76"/>
    </row>
    <row r="160" spans="1:7" x14ac:dyDescent="0.25">
      <c r="A160" s="10">
        <v>155</v>
      </c>
      <c r="B160" s="5"/>
      <c r="C160" s="5"/>
      <c r="D160" s="5"/>
      <c r="E160" s="5"/>
      <c r="F160" s="75"/>
      <c r="G160" s="76"/>
    </row>
    <row r="161" spans="1:7" x14ac:dyDescent="0.25">
      <c r="A161" s="10">
        <v>156</v>
      </c>
      <c r="B161" s="5"/>
      <c r="C161" s="5"/>
      <c r="D161" s="5"/>
      <c r="E161" s="5"/>
      <c r="F161" s="75"/>
      <c r="G161" s="76"/>
    </row>
    <row r="162" spans="1:7" x14ac:dyDescent="0.25">
      <c r="A162" s="10">
        <v>157</v>
      </c>
      <c r="B162" s="5"/>
      <c r="C162" s="5"/>
      <c r="D162" s="5"/>
      <c r="E162" s="5"/>
      <c r="F162" s="75"/>
      <c r="G162" s="76"/>
    </row>
    <row r="163" spans="1:7" x14ac:dyDescent="0.25">
      <c r="A163" s="10">
        <v>158</v>
      </c>
      <c r="B163" s="5"/>
      <c r="C163" s="5"/>
      <c r="D163" s="5"/>
      <c r="E163" s="5"/>
      <c r="F163" s="75"/>
      <c r="G163" s="76"/>
    </row>
    <row r="164" spans="1:7" x14ac:dyDescent="0.25">
      <c r="A164" s="10">
        <v>159</v>
      </c>
      <c r="B164" s="5"/>
      <c r="C164" s="5"/>
      <c r="D164" s="5"/>
      <c r="E164" s="5"/>
      <c r="F164" s="75"/>
      <c r="G164" s="76"/>
    </row>
    <row r="165" spans="1:7" x14ac:dyDescent="0.25">
      <c r="A165" s="10">
        <v>160</v>
      </c>
      <c r="B165" s="5"/>
      <c r="C165" s="5"/>
      <c r="D165" s="5"/>
      <c r="E165" s="5"/>
      <c r="F165" s="75"/>
      <c r="G165" s="76"/>
    </row>
    <row r="166" spans="1:7" x14ac:dyDescent="0.25">
      <c r="A166" s="10">
        <v>161</v>
      </c>
      <c r="B166" s="5"/>
      <c r="C166" s="5"/>
      <c r="D166" s="5"/>
      <c r="E166" s="5"/>
      <c r="F166" s="75"/>
      <c r="G166" s="76"/>
    </row>
    <row r="167" spans="1:7" x14ac:dyDescent="0.25">
      <c r="A167" s="10">
        <v>162</v>
      </c>
      <c r="B167" s="5"/>
      <c r="C167" s="5"/>
      <c r="D167" s="5"/>
      <c r="E167" s="5"/>
      <c r="F167" s="75"/>
      <c r="G167" s="76"/>
    </row>
    <row r="168" spans="1:7" x14ac:dyDescent="0.25">
      <c r="A168" s="10">
        <v>163</v>
      </c>
      <c r="B168" s="5"/>
      <c r="C168" s="5"/>
      <c r="D168" s="5"/>
      <c r="E168" s="5"/>
      <c r="F168" s="75"/>
      <c r="G168" s="76"/>
    </row>
    <row r="169" spans="1:7" x14ac:dyDescent="0.25">
      <c r="A169" s="10">
        <v>164</v>
      </c>
      <c r="B169" s="5"/>
      <c r="C169" s="5"/>
      <c r="D169" s="5"/>
      <c r="E169" s="5"/>
      <c r="F169" s="75"/>
      <c r="G169" s="76"/>
    </row>
    <row r="170" spans="1:7" x14ac:dyDescent="0.25">
      <c r="A170" s="10">
        <v>165</v>
      </c>
      <c r="B170" s="5"/>
      <c r="C170" s="5"/>
      <c r="D170" s="5"/>
      <c r="E170" s="5"/>
      <c r="F170" s="75"/>
      <c r="G170" s="76"/>
    </row>
    <row r="171" spans="1:7" x14ac:dyDescent="0.25">
      <c r="A171" s="10">
        <v>166</v>
      </c>
      <c r="B171" s="5"/>
      <c r="C171" s="5"/>
      <c r="D171" s="5"/>
      <c r="E171" s="5"/>
      <c r="F171" s="75"/>
      <c r="G171" s="76"/>
    </row>
    <row r="172" spans="1:7" x14ac:dyDescent="0.25">
      <c r="A172" s="10">
        <v>167</v>
      </c>
      <c r="B172" s="5"/>
      <c r="C172" s="5"/>
      <c r="D172" s="5"/>
      <c r="E172" s="5"/>
      <c r="F172" s="75"/>
      <c r="G172" s="76"/>
    </row>
    <row r="173" spans="1:7" x14ac:dyDescent="0.25">
      <c r="A173" s="10">
        <v>168</v>
      </c>
      <c r="B173" s="5"/>
      <c r="C173" s="5"/>
      <c r="D173" s="5"/>
      <c r="E173" s="5"/>
      <c r="F173" s="75"/>
      <c r="G173" s="76"/>
    </row>
    <row r="174" spans="1:7" x14ac:dyDescent="0.25">
      <c r="A174" s="10">
        <v>169</v>
      </c>
      <c r="B174" s="5"/>
      <c r="C174" s="5"/>
      <c r="D174" s="5"/>
      <c r="E174" s="5"/>
      <c r="F174" s="75"/>
      <c r="G174" s="76"/>
    </row>
    <row r="175" spans="1:7" x14ac:dyDescent="0.25">
      <c r="A175" s="10">
        <v>170</v>
      </c>
      <c r="B175" s="5"/>
      <c r="C175" s="5"/>
      <c r="D175" s="5"/>
      <c r="E175" s="5"/>
      <c r="F175" s="75"/>
      <c r="G175" s="76"/>
    </row>
    <row r="176" spans="1:7" x14ac:dyDescent="0.25">
      <c r="A176" s="10">
        <v>171</v>
      </c>
      <c r="B176" s="5"/>
      <c r="C176" s="5"/>
      <c r="D176" s="5"/>
      <c r="E176" s="5"/>
      <c r="F176" s="75"/>
      <c r="G176" s="76"/>
    </row>
    <row r="177" spans="1:7" x14ac:dyDescent="0.25">
      <c r="A177" s="10">
        <v>172</v>
      </c>
      <c r="B177" s="5"/>
      <c r="C177" s="5"/>
      <c r="D177" s="5"/>
      <c r="E177" s="5"/>
      <c r="F177" s="75"/>
      <c r="G177" s="76"/>
    </row>
    <row r="178" spans="1:7" x14ac:dyDescent="0.25">
      <c r="A178" s="10">
        <v>173</v>
      </c>
      <c r="B178" s="5"/>
      <c r="C178" s="5"/>
      <c r="D178" s="5"/>
      <c r="E178" s="5"/>
      <c r="F178" s="75"/>
      <c r="G178" s="76"/>
    </row>
    <row r="179" spans="1:7" x14ac:dyDescent="0.25">
      <c r="A179" s="10">
        <v>174</v>
      </c>
      <c r="B179" s="5"/>
      <c r="C179" s="5"/>
      <c r="D179" s="5"/>
      <c r="E179" s="5"/>
      <c r="F179" s="75"/>
      <c r="G179" s="76"/>
    </row>
    <row r="180" spans="1:7" x14ac:dyDescent="0.25">
      <c r="A180" s="10">
        <v>175</v>
      </c>
      <c r="B180" s="5"/>
      <c r="C180" s="5"/>
      <c r="D180" s="5"/>
      <c r="E180" s="5"/>
      <c r="F180" s="75"/>
      <c r="G180" s="76"/>
    </row>
    <row r="181" spans="1:7" x14ac:dyDescent="0.25">
      <c r="A181" s="10">
        <v>176</v>
      </c>
      <c r="B181" s="5"/>
      <c r="C181" s="5"/>
      <c r="D181" s="5"/>
      <c r="E181" s="5"/>
      <c r="F181" s="75"/>
      <c r="G181" s="76"/>
    </row>
    <row r="182" spans="1:7" x14ac:dyDescent="0.25">
      <c r="A182" s="10">
        <v>177</v>
      </c>
      <c r="B182" s="5"/>
      <c r="C182" s="5"/>
      <c r="D182" s="5"/>
      <c r="E182" s="5"/>
      <c r="F182" s="75"/>
      <c r="G182" s="76"/>
    </row>
    <row r="183" spans="1:7" x14ac:dyDescent="0.25">
      <c r="A183" s="10">
        <v>178</v>
      </c>
      <c r="B183" s="5"/>
      <c r="C183" s="5"/>
      <c r="D183" s="5"/>
      <c r="E183" s="5"/>
      <c r="F183" s="75"/>
      <c r="G183" s="76"/>
    </row>
    <row r="184" spans="1:7" x14ac:dyDescent="0.25">
      <c r="A184" s="10">
        <v>179</v>
      </c>
      <c r="B184" s="5"/>
      <c r="C184" s="5"/>
      <c r="D184" s="5"/>
      <c r="E184" s="5"/>
      <c r="F184" s="75"/>
      <c r="G184" s="76"/>
    </row>
    <row r="185" spans="1:7" x14ac:dyDescent="0.25">
      <c r="A185" s="10">
        <v>180</v>
      </c>
      <c r="B185" s="5"/>
      <c r="C185" s="5"/>
      <c r="D185" s="5"/>
      <c r="E185" s="5"/>
      <c r="F185" s="75"/>
      <c r="G185" s="76"/>
    </row>
    <row r="186" spans="1:7" x14ac:dyDescent="0.25">
      <c r="A186" s="10">
        <v>181</v>
      </c>
      <c r="B186" s="5"/>
      <c r="C186" s="5"/>
      <c r="D186" s="5"/>
      <c r="E186" s="5"/>
      <c r="F186" s="75"/>
      <c r="G186" s="76"/>
    </row>
    <row r="187" spans="1:7" x14ac:dyDescent="0.25">
      <c r="A187" s="10">
        <v>182</v>
      </c>
      <c r="B187" s="5"/>
      <c r="C187" s="5"/>
      <c r="D187" s="5"/>
      <c r="E187" s="5"/>
      <c r="F187" s="75"/>
      <c r="G187" s="76"/>
    </row>
    <row r="188" spans="1:7" x14ac:dyDescent="0.25">
      <c r="A188" s="10">
        <v>183</v>
      </c>
      <c r="B188" s="5"/>
      <c r="C188" s="5"/>
      <c r="D188" s="5"/>
      <c r="E188" s="5"/>
      <c r="F188" s="75"/>
      <c r="G188" s="76"/>
    </row>
    <row r="189" spans="1:7" x14ac:dyDescent="0.25">
      <c r="A189" s="10">
        <v>184</v>
      </c>
      <c r="B189" s="5"/>
      <c r="C189" s="5"/>
      <c r="D189" s="5"/>
      <c r="E189" s="5"/>
      <c r="F189" s="75"/>
      <c r="G189" s="76"/>
    </row>
    <row r="190" spans="1:7" x14ac:dyDescent="0.25">
      <c r="A190" s="10">
        <v>185</v>
      </c>
      <c r="B190" s="5"/>
      <c r="C190" s="5"/>
      <c r="D190" s="5"/>
      <c r="E190" s="5"/>
      <c r="F190" s="75"/>
      <c r="G190" s="76"/>
    </row>
    <row r="191" spans="1:7" x14ac:dyDescent="0.25">
      <c r="A191" s="10">
        <v>186</v>
      </c>
      <c r="B191" s="5"/>
      <c r="C191" s="5"/>
      <c r="D191" s="5"/>
      <c r="E191" s="5"/>
      <c r="F191" s="75"/>
      <c r="G191" s="76"/>
    </row>
    <row r="192" spans="1:7" x14ac:dyDescent="0.25">
      <c r="A192" s="10">
        <v>187</v>
      </c>
      <c r="B192" s="5"/>
      <c r="C192" s="5"/>
      <c r="D192" s="5"/>
      <c r="E192" s="5"/>
      <c r="F192" s="75"/>
      <c r="G192" s="76"/>
    </row>
    <row r="193" spans="1:7" x14ac:dyDescent="0.25">
      <c r="A193" s="10">
        <v>188</v>
      </c>
      <c r="B193" s="5"/>
      <c r="C193" s="5"/>
      <c r="D193" s="5"/>
      <c r="E193" s="5"/>
      <c r="F193" s="75"/>
      <c r="G193" s="76"/>
    </row>
    <row r="194" spans="1:7" x14ac:dyDescent="0.25">
      <c r="A194" s="10">
        <v>189</v>
      </c>
      <c r="B194" s="5"/>
      <c r="C194" s="5"/>
      <c r="D194" s="5"/>
      <c r="E194" s="5"/>
      <c r="F194" s="75"/>
      <c r="G194" s="76"/>
    </row>
    <row r="195" spans="1:7" x14ac:dyDescent="0.25">
      <c r="A195" s="10">
        <v>190</v>
      </c>
      <c r="B195" s="5"/>
      <c r="C195" s="5"/>
      <c r="D195" s="5"/>
      <c r="E195" s="5"/>
      <c r="F195" s="75"/>
      <c r="G195" s="76"/>
    </row>
    <row r="196" spans="1:7" x14ac:dyDescent="0.25">
      <c r="A196" s="10">
        <v>191</v>
      </c>
      <c r="B196" s="5"/>
      <c r="C196" s="5"/>
      <c r="D196" s="5"/>
      <c r="E196" s="5"/>
      <c r="F196" s="75"/>
      <c r="G196" s="76"/>
    </row>
    <row r="197" spans="1:7" x14ac:dyDescent="0.25">
      <c r="A197" s="10">
        <v>192</v>
      </c>
      <c r="B197" s="5"/>
      <c r="C197" s="5"/>
      <c r="D197" s="5"/>
      <c r="E197" s="5"/>
      <c r="F197" s="75"/>
      <c r="G197" s="76"/>
    </row>
    <row r="198" spans="1:7" x14ac:dyDescent="0.25">
      <c r="A198" s="10">
        <v>193</v>
      </c>
      <c r="B198" s="5"/>
      <c r="C198" s="5"/>
      <c r="D198" s="5"/>
      <c r="E198" s="5"/>
      <c r="F198" s="75"/>
      <c r="G198" s="76"/>
    </row>
    <row r="199" spans="1:7" x14ac:dyDescent="0.25">
      <c r="A199" s="10">
        <v>194</v>
      </c>
      <c r="B199" s="5"/>
      <c r="C199" s="5"/>
      <c r="D199" s="5"/>
      <c r="E199" s="5"/>
      <c r="F199" s="75"/>
      <c r="G199" s="76"/>
    </row>
    <row r="200" spans="1:7" x14ac:dyDescent="0.25">
      <c r="A200" s="10">
        <v>195</v>
      </c>
      <c r="B200" s="5"/>
      <c r="C200" s="5"/>
      <c r="D200" s="5"/>
      <c r="E200" s="5"/>
      <c r="F200" s="75"/>
      <c r="G200" s="76"/>
    </row>
    <row r="201" spans="1:7" x14ac:dyDescent="0.25">
      <c r="A201" s="10">
        <v>196</v>
      </c>
      <c r="B201" s="5"/>
      <c r="C201" s="5"/>
      <c r="D201" s="5"/>
      <c r="E201" s="5"/>
      <c r="F201" s="75"/>
      <c r="G201" s="76"/>
    </row>
    <row r="202" spans="1:7" x14ac:dyDescent="0.25">
      <c r="A202" s="10">
        <v>197</v>
      </c>
      <c r="B202" s="5"/>
      <c r="C202" s="5"/>
      <c r="D202" s="5"/>
      <c r="E202" s="5"/>
      <c r="F202" s="75"/>
      <c r="G202" s="76"/>
    </row>
    <row r="203" spans="1:7" x14ac:dyDescent="0.25">
      <c r="A203" s="10">
        <v>198</v>
      </c>
      <c r="B203" s="5"/>
      <c r="C203" s="5"/>
      <c r="D203" s="5"/>
      <c r="E203" s="5"/>
      <c r="F203" s="75"/>
      <c r="G203" s="76"/>
    </row>
    <row r="204" spans="1:7" x14ac:dyDescent="0.25">
      <c r="A204" s="10">
        <v>199</v>
      </c>
      <c r="B204" s="5"/>
      <c r="C204" s="5"/>
      <c r="D204" s="5"/>
      <c r="E204" s="5"/>
      <c r="F204" s="75"/>
      <c r="G204" s="76"/>
    </row>
    <row r="205" spans="1:7" x14ac:dyDescent="0.25">
      <c r="A205" s="10">
        <v>200</v>
      </c>
      <c r="B205" s="5"/>
      <c r="C205" s="5"/>
      <c r="D205" s="5"/>
      <c r="E205" s="5"/>
      <c r="F205" s="75"/>
      <c r="G205" s="76"/>
    </row>
    <row r="206" spans="1:7" x14ac:dyDescent="0.25">
      <c r="A206" s="10">
        <v>201</v>
      </c>
      <c r="B206" s="5"/>
      <c r="C206" s="5"/>
      <c r="D206" s="5"/>
      <c r="E206" s="5"/>
      <c r="F206" s="75"/>
      <c r="G206" s="76"/>
    </row>
    <row r="207" spans="1:7" x14ac:dyDescent="0.25">
      <c r="A207" s="10">
        <v>202</v>
      </c>
      <c r="B207" s="5"/>
      <c r="C207" s="5"/>
      <c r="D207" s="5"/>
      <c r="E207" s="5"/>
      <c r="F207" s="75"/>
      <c r="G207" s="76"/>
    </row>
    <row r="208" spans="1:7" x14ac:dyDescent="0.25">
      <c r="A208" s="10">
        <v>203</v>
      </c>
      <c r="B208" s="5"/>
      <c r="C208" s="5"/>
      <c r="D208" s="5"/>
      <c r="E208" s="5"/>
      <c r="F208" s="75"/>
      <c r="G208" s="76"/>
    </row>
    <row r="209" spans="1:7" x14ac:dyDescent="0.25">
      <c r="A209" s="10">
        <v>204</v>
      </c>
      <c r="B209" s="5"/>
      <c r="C209" s="5"/>
      <c r="D209" s="5"/>
      <c r="E209" s="5"/>
      <c r="F209" s="75"/>
      <c r="G209" s="76"/>
    </row>
    <row r="210" spans="1:7" x14ac:dyDescent="0.25">
      <c r="A210" s="10">
        <v>205</v>
      </c>
      <c r="B210" s="5"/>
      <c r="C210" s="5"/>
      <c r="D210" s="5"/>
      <c r="E210" s="5"/>
      <c r="F210" s="75"/>
      <c r="G210" s="76"/>
    </row>
    <row r="211" spans="1:7" x14ac:dyDescent="0.25">
      <c r="A211" s="10">
        <v>206</v>
      </c>
      <c r="B211" s="5"/>
      <c r="C211" s="5"/>
      <c r="D211" s="5"/>
      <c r="E211" s="5"/>
      <c r="F211" s="75"/>
      <c r="G211" s="76"/>
    </row>
    <row r="212" spans="1:7" x14ac:dyDescent="0.25">
      <c r="A212" s="10">
        <v>207</v>
      </c>
      <c r="B212" s="5"/>
      <c r="C212" s="5"/>
      <c r="D212" s="5"/>
      <c r="E212" s="5"/>
      <c r="F212" s="75"/>
      <c r="G212" s="76"/>
    </row>
    <row r="213" spans="1:7" x14ac:dyDescent="0.25">
      <c r="A213" s="10">
        <v>208</v>
      </c>
      <c r="B213" s="5"/>
      <c r="C213" s="5"/>
      <c r="D213" s="5"/>
      <c r="E213" s="5"/>
      <c r="F213" s="75"/>
      <c r="G213" s="76"/>
    </row>
    <row r="214" spans="1:7" x14ac:dyDescent="0.25">
      <c r="A214" s="10">
        <v>209</v>
      </c>
      <c r="B214" s="5"/>
      <c r="C214" s="5"/>
      <c r="D214" s="5"/>
      <c r="E214" s="5"/>
      <c r="F214" s="75"/>
      <c r="G214" s="76"/>
    </row>
    <row r="215" spans="1:7" x14ac:dyDescent="0.25">
      <c r="A215" s="10">
        <v>210</v>
      </c>
      <c r="B215" s="5"/>
      <c r="C215" s="5"/>
      <c r="D215" s="5"/>
      <c r="E215" s="5"/>
      <c r="F215" s="75"/>
      <c r="G215" s="76"/>
    </row>
    <row r="216" spans="1:7" x14ac:dyDescent="0.25">
      <c r="A216" s="10">
        <v>211</v>
      </c>
      <c r="B216" s="5"/>
      <c r="C216" s="5"/>
      <c r="D216" s="5"/>
      <c r="E216" s="5"/>
      <c r="F216" s="75"/>
      <c r="G216" s="76"/>
    </row>
    <row r="217" spans="1:7" x14ac:dyDescent="0.25">
      <c r="A217" s="10">
        <v>212</v>
      </c>
      <c r="B217" s="5"/>
      <c r="C217" s="5"/>
      <c r="D217" s="5"/>
      <c r="E217" s="5"/>
      <c r="F217" s="75"/>
      <c r="G217" s="76"/>
    </row>
    <row r="218" spans="1:7" x14ac:dyDescent="0.25">
      <c r="A218" s="10">
        <v>213</v>
      </c>
      <c r="B218" s="5"/>
      <c r="C218" s="5"/>
      <c r="D218" s="5"/>
      <c r="E218" s="5"/>
      <c r="F218" s="75"/>
      <c r="G218" s="76"/>
    </row>
    <row r="219" spans="1:7" x14ac:dyDescent="0.25">
      <c r="A219" s="10">
        <v>214</v>
      </c>
      <c r="B219" s="5"/>
      <c r="C219" s="5"/>
      <c r="D219" s="5"/>
      <c r="E219" s="5"/>
      <c r="F219" s="75"/>
      <c r="G219" s="76"/>
    </row>
    <row r="220" spans="1:7" x14ac:dyDescent="0.25">
      <c r="A220" s="10">
        <v>215</v>
      </c>
      <c r="B220" s="5"/>
      <c r="C220" s="5"/>
      <c r="D220" s="5"/>
      <c r="E220" s="5"/>
      <c r="F220" s="75"/>
      <c r="G220" s="76"/>
    </row>
    <row r="221" spans="1:7" x14ac:dyDescent="0.25">
      <c r="A221" s="10">
        <v>216</v>
      </c>
      <c r="B221" s="5"/>
      <c r="C221" s="5"/>
      <c r="D221" s="5"/>
      <c r="E221" s="5"/>
      <c r="F221" s="75"/>
      <c r="G221" s="76"/>
    </row>
    <row r="222" spans="1:7" x14ac:dyDescent="0.25">
      <c r="A222" s="10">
        <v>217</v>
      </c>
      <c r="B222" s="5"/>
      <c r="C222" s="5"/>
      <c r="D222" s="5"/>
      <c r="E222" s="5"/>
      <c r="F222" s="75"/>
      <c r="G222" s="76"/>
    </row>
    <row r="223" spans="1:7" x14ac:dyDescent="0.25">
      <c r="A223" s="10">
        <v>218</v>
      </c>
      <c r="B223" s="5"/>
      <c r="C223" s="5"/>
      <c r="D223" s="5"/>
      <c r="E223" s="5"/>
      <c r="F223" s="75"/>
      <c r="G223" s="76"/>
    </row>
    <row r="224" spans="1:7" x14ac:dyDescent="0.25">
      <c r="A224" s="10">
        <v>219</v>
      </c>
      <c r="B224" s="5"/>
      <c r="C224" s="5"/>
      <c r="D224" s="5"/>
      <c r="E224" s="5"/>
      <c r="F224" s="75"/>
      <c r="G224" s="76"/>
    </row>
    <row r="225" spans="1:7" x14ac:dyDescent="0.25">
      <c r="A225" s="10">
        <v>220</v>
      </c>
      <c r="B225" s="5"/>
      <c r="C225" s="5"/>
      <c r="D225" s="5"/>
      <c r="E225" s="5"/>
      <c r="F225" s="75"/>
      <c r="G225" s="76"/>
    </row>
    <row r="226" spans="1:7" x14ac:dyDescent="0.25">
      <c r="A226" s="10">
        <v>221</v>
      </c>
      <c r="B226" s="5"/>
      <c r="C226" s="5"/>
      <c r="D226" s="5"/>
      <c r="E226" s="5"/>
      <c r="F226" s="75"/>
      <c r="G226" s="76"/>
    </row>
    <row r="227" spans="1:7" x14ac:dyDescent="0.25">
      <c r="A227" s="10">
        <v>222</v>
      </c>
      <c r="B227" s="5"/>
      <c r="C227" s="5"/>
      <c r="D227" s="5"/>
      <c r="E227" s="5"/>
      <c r="F227" s="75"/>
      <c r="G227" s="76"/>
    </row>
    <row r="228" spans="1:7" x14ac:dyDescent="0.25">
      <c r="A228" s="10">
        <v>223</v>
      </c>
      <c r="B228" s="5"/>
      <c r="C228" s="5"/>
      <c r="D228" s="5"/>
      <c r="E228" s="5"/>
      <c r="F228" s="75"/>
      <c r="G228" s="76"/>
    </row>
    <row r="229" spans="1:7" x14ac:dyDescent="0.25">
      <c r="A229" s="10">
        <v>224</v>
      </c>
      <c r="B229" s="5"/>
      <c r="C229" s="5"/>
      <c r="D229" s="5"/>
      <c r="E229" s="5"/>
      <c r="F229" s="75"/>
      <c r="G229" s="76"/>
    </row>
    <row r="230" spans="1:7" x14ac:dyDescent="0.25">
      <c r="A230" s="10">
        <v>225</v>
      </c>
      <c r="B230" s="5"/>
      <c r="C230" s="5"/>
      <c r="D230" s="5"/>
      <c r="E230" s="5"/>
      <c r="F230" s="75"/>
      <c r="G230" s="76"/>
    </row>
    <row r="231" spans="1:7" x14ac:dyDescent="0.25">
      <c r="A231" s="10">
        <v>226</v>
      </c>
      <c r="B231" s="5"/>
      <c r="C231" s="5"/>
      <c r="D231" s="5"/>
      <c r="E231" s="5"/>
      <c r="F231" s="75"/>
      <c r="G231" s="76"/>
    </row>
    <row r="232" spans="1:7" x14ac:dyDescent="0.25">
      <c r="A232" s="10">
        <v>227</v>
      </c>
      <c r="B232" s="5"/>
      <c r="C232" s="5"/>
      <c r="D232" s="5"/>
      <c r="E232" s="5"/>
      <c r="F232" s="75"/>
      <c r="G232" s="76"/>
    </row>
    <row r="233" spans="1:7" x14ac:dyDescent="0.25">
      <c r="A233" s="10">
        <v>228</v>
      </c>
      <c r="B233" s="5"/>
      <c r="C233" s="5"/>
      <c r="D233" s="5"/>
      <c r="E233" s="5"/>
      <c r="F233" s="75"/>
      <c r="G233" s="76"/>
    </row>
    <row r="234" spans="1:7" x14ac:dyDescent="0.25">
      <c r="A234" s="10">
        <v>229</v>
      </c>
      <c r="B234" s="5"/>
      <c r="C234" s="5"/>
      <c r="D234" s="5"/>
      <c r="E234" s="5"/>
      <c r="F234" s="75"/>
      <c r="G234" s="76"/>
    </row>
    <row r="235" spans="1:7" x14ac:dyDescent="0.25">
      <c r="A235" s="10">
        <v>230</v>
      </c>
      <c r="B235" s="5"/>
      <c r="C235" s="5"/>
      <c r="D235" s="5"/>
      <c r="E235" s="5"/>
      <c r="F235" s="75"/>
      <c r="G235" s="76"/>
    </row>
    <row r="236" spans="1:7" x14ac:dyDescent="0.25">
      <c r="A236" s="10">
        <v>231</v>
      </c>
      <c r="B236" s="5"/>
      <c r="C236" s="5"/>
      <c r="D236" s="5"/>
      <c r="E236" s="5"/>
      <c r="F236" s="75"/>
      <c r="G236" s="76"/>
    </row>
    <row r="237" spans="1:7" x14ac:dyDescent="0.25">
      <c r="A237" s="10">
        <v>232</v>
      </c>
      <c r="B237" s="5"/>
      <c r="C237" s="5"/>
      <c r="D237" s="5"/>
      <c r="E237" s="5"/>
      <c r="F237" s="75"/>
      <c r="G237" s="76"/>
    </row>
    <row r="238" spans="1:7" x14ac:dyDescent="0.25">
      <c r="A238" s="10">
        <v>233</v>
      </c>
      <c r="B238" s="5"/>
      <c r="C238" s="5"/>
      <c r="D238" s="5"/>
      <c r="E238" s="5"/>
      <c r="F238" s="75"/>
      <c r="G238" s="76"/>
    </row>
    <row r="239" spans="1:7" x14ac:dyDescent="0.25">
      <c r="A239" s="10">
        <v>234</v>
      </c>
      <c r="B239" s="5"/>
      <c r="C239" s="5"/>
      <c r="D239" s="5"/>
      <c r="E239" s="5"/>
      <c r="F239" s="75"/>
      <c r="G239" s="76"/>
    </row>
    <row r="240" spans="1:7" x14ac:dyDescent="0.25">
      <c r="A240" s="10">
        <v>235</v>
      </c>
      <c r="B240" s="5"/>
      <c r="C240" s="5"/>
      <c r="D240" s="5"/>
      <c r="E240" s="5"/>
      <c r="F240" s="75"/>
      <c r="G240" s="76"/>
    </row>
    <row r="241" spans="1:7" x14ac:dyDescent="0.25">
      <c r="A241" s="10">
        <v>236</v>
      </c>
      <c r="B241" s="5"/>
      <c r="C241" s="5"/>
      <c r="D241" s="5"/>
      <c r="E241" s="5"/>
      <c r="F241" s="75"/>
      <c r="G241" s="76"/>
    </row>
    <row r="242" spans="1:7" x14ac:dyDescent="0.25">
      <c r="A242" s="10">
        <v>237</v>
      </c>
      <c r="B242" s="5"/>
      <c r="C242" s="5"/>
      <c r="D242" s="5"/>
      <c r="E242" s="5"/>
      <c r="F242" s="75"/>
      <c r="G242" s="76"/>
    </row>
    <row r="243" spans="1:7" x14ac:dyDescent="0.25">
      <c r="A243" s="10">
        <v>238</v>
      </c>
      <c r="B243" s="5"/>
      <c r="C243" s="5"/>
      <c r="D243" s="5"/>
      <c r="E243" s="5"/>
      <c r="F243" s="75"/>
      <c r="G243" s="76"/>
    </row>
    <row r="244" spans="1:7" x14ac:dyDescent="0.25">
      <c r="A244" s="10">
        <v>239</v>
      </c>
      <c r="B244" s="5"/>
      <c r="C244" s="5"/>
      <c r="D244" s="5"/>
      <c r="E244" s="5"/>
      <c r="F244" s="75"/>
      <c r="G244" s="76"/>
    </row>
    <row r="245" spans="1:7" x14ac:dyDescent="0.25">
      <c r="A245" s="10">
        <v>240</v>
      </c>
      <c r="B245" s="5"/>
      <c r="C245" s="5"/>
      <c r="D245" s="5"/>
      <c r="E245" s="5"/>
      <c r="F245" s="75"/>
      <c r="G245" s="76"/>
    </row>
    <row r="246" spans="1:7" x14ac:dyDescent="0.25">
      <c r="A246" s="10">
        <v>241</v>
      </c>
      <c r="B246" s="5"/>
      <c r="C246" s="5"/>
      <c r="D246" s="5"/>
      <c r="E246" s="5"/>
      <c r="F246" s="75"/>
      <c r="G246" s="76"/>
    </row>
    <row r="247" spans="1:7" x14ac:dyDescent="0.25">
      <c r="A247" s="10">
        <v>242</v>
      </c>
      <c r="B247" s="5"/>
      <c r="C247" s="5"/>
      <c r="D247" s="5"/>
      <c r="E247" s="5"/>
      <c r="F247" s="75"/>
      <c r="G247" s="76"/>
    </row>
    <row r="248" spans="1:7" x14ac:dyDescent="0.25">
      <c r="A248" s="10">
        <v>243</v>
      </c>
      <c r="B248" s="5"/>
      <c r="C248" s="5"/>
      <c r="D248" s="5"/>
      <c r="E248" s="5"/>
      <c r="F248" s="75"/>
      <c r="G248" s="76"/>
    </row>
    <row r="249" spans="1:7" x14ac:dyDescent="0.25">
      <c r="A249" s="10">
        <v>244</v>
      </c>
      <c r="B249" s="5"/>
      <c r="C249" s="5"/>
      <c r="D249" s="5"/>
      <c r="E249" s="5"/>
      <c r="F249" s="75"/>
      <c r="G249" s="76"/>
    </row>
    <row r="250" spans="1:7" x14ac:dyDescent="0.25">
      <c r="A250" s="10">
        <v>245</v>
      </c>
      <c r="B250" s="5"/>
      <c r="C250" s="5"/>
      <c r="D250" s="5"/>
      <c r="E250" s="5"/>
      <c r="F250" s="75"/>
      <c r="G250" s="76"/>
    </row>
    <row r="251" spans="1:7" x14ac:dyDescent="0.25">
      <c r="A251" s="10">
        <v>246</v>
      </c>
      <c r="B251" s="5"/>
      <c r="C251" s="5"/>
      <c r="D251" s="5"/>
      <c r="E251" s="5"/>
      <c r="F251" s="75"/>
      <c r="G251" s="76"/>
    </row>
    <row r="252" spans="1:7" x14ac:dyDescent="0.25">
      <c r="A252" s="10">
        <v>247</v>
      </c>
      <c r="B252" s="5"/>
      <c r="C252" s="5"/>
      <c r="D252" s="5"/>
      <c r="E252" s="5"/>
      <c r="F252" s="75"/>
      <c r="G252" s="76"/>
    </row>
  </sheetData>
  <mergeCells count="256">
    <mergeCell ref="F251:G251"/>
    <mergeCell ref="F252:G252"/>
    <mergeCell ref="F245:G245"/>
    <mergeCell ref="F246:G246"/>
    <mergeCell ref="F247:G247"/>
    <mergeCell ref="F248:G248"/>
    <mergeCell ref="F249:G249"/>
    <mergeCell ref="F250:G250"/>
    <mergeCell ref="F239:G239"/>
    <mergeCell ref="F240:G240"/>
    <mergeCell ref="F241:G241"/>
    <mergeCell ref="F242:G242"/>
    <mergeCell ref="F243:G243"/>
    <mergeCell ref="F244:G244"/>
    <mergeCell ref="F233:G233"/>
    <mergeCell ref="F234:G234"/>
    <mergeCell ref="F235:G235"/>
    <mergeCell ref="F236:G236"/>
    <mergeCell ref="F237:G237"/>
    <mergeCell ref="F238:G238"/>
    <mergeCell ref="F227:G227"/>
    <mergeCell ref="F228:G228"/>
    <mergeCell ref="F229:G229"/>
    <mergeCell ref="F230:G230"/>
    <mergeCell ref="F231:G231"/>
    <mergeCell ref="F232:G232"/>
    <mergeCell ref="F221:G221"/>
    <mergeCell ref="F222:G222"/>
    <mergeCell ref="F223:G223"/>
    <mergeCell ref="F224:G224"/>
    <mergeCell ref="F225:G225"/>
    <mergeCell ref="F226:G226"/>
    <mergeCell ref="F215:G215"/>
    <mergeCell ref="F216:G216"/>
    <mergeCell ref="F217:G217"/>
    <mergeCell ref="F218:G218"/>
    <mergeCell ref="F219:G219"/>
    <mergeCell ref="F220:G220"/>
    <mergeCell ref="F209:G209"/>
    <mergeCell ref="F210:G210"/>
    <mergeCell ref="F211:G211"/>
    <mergeCell ref="F212:G212"/>
    <mergeCell ref="F213:G213"/>
    <mergeCell ref="F214:G214"/>
    <mergeCell ref="F203:G203"/>
    <mergeCell ref="F204:G204"/>
    <mergeCell ref="F205:G205"/>
    <mergeCell ref="F206:G206"/>
    <mergeCell ref="F207:G207"/>
    <mergeCell ref="F208:G208"/>
    <mergeCell ref="F197:G197"/>
    <mergeCell ref="F198:G198"/>
    <mergeCell ref="F199:G199"/>
    <mergeCell ref="F200:G200"/>
    <mergeCell ref="F201:G201"/>
    <mergeCell ref="F202:G202"/>
    <mergeCell ref="F191:G191"/>
    <mergeCell ref="F192:G192"/>
    <mergeCell ref="F193:G193"/>
    <mergeCell ref="F194:G194"/>
    <mergeCell ref="F195:G195"/>
    <mergeCell ref="F196:G196"/>
    <mergeCell ref="F185:G185"/>
    <mergeCell ref="F186:G186"/>
    <mergeCell ref="F187:G187"/>
    <mergeCell ref="F188:G188"/>
    <mergeCell ref="F189:G189"/>
    <mergeCell ref="F190:G190"/>
    <mergeCell ref="F179:G179"/>
    <mergeCell ref="F180:G180"/>
    <mergeCell ref="F181:G181"/>
    <mergeCell ref="F182:G182"/>
    <mergeCell ref="F183:G183"/>
    <mergeCell ref="F184:G184"/>
    <mergeCell ref="F173:G173"/>
    <mergeCell ref="F174:G174"/>
    <mergeCell ref="F175:G175"/>
    <mergeCell ref="F176:G176"/>
    <mergeCell ref="F177:G177"/>
    <mergeCell ref="F178:G178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F155:G155"/>
    <mergeCell ref="F156:G156"/>
    <mergeCell ref="F157:G157"/>
    <mergeCell ref="F158:G158"/>
    <mergeCell ref="F159:G159"/>
    <mergeCell ref="F160:G160"/>
    <mergeCell ref="F149:G149"/>
    <mergeCell ref="F150:G150"/>
    <mergeCell ref="F151:G151"/>
    <mergeCell ref="F152:G152"/>
    <mergeCell ref="F153:G153"/>
    <mergeCell ref="F154:G154"/>
    <mergeCell ref="F143:G143"/>
    <mergeCell ref="F144:G144"/>
    <mergeCell ref="F145:G145"/>
    <mergeCell ref="F146:G146"/>
    <mergeCell ref="F147:G147"/>
    <mergeCell ref="F148:G148"/>
    <mergeCell ref="F137:G137"/>
    <mergeCell ref="F138:G138"/>
    <mergeCell ref="F139:G139"/>
    <mergeCell ref="F140:G140"/>
    <mergeCell ref="F141:G141"/>
    <mergeCell ref="F142:G142"/>
    <mergeCell ref="F131:G131"/>
    <mergeCell ref="F132:G132"/>
    <mergeCell ref="F133:G133"/>
    <mergeCell ref="F134:G134"/>
    <mergeCell ref="F135:G135"/>
    <mergeCell ref="F136:G136"/>
    <mergeCell ref="F125:G125"/>
    <mergeCell ref="F126:G126"/>
    <mergeCell ref="F127:G127"/>
    <mergeCell ref="F128:G128"/>
    <mergeCell ref="F129:G129"/>
    <mergeCell ref="F130:G130"/>
    <mergeCell ref="F119:G119"/>
    <mergeCell ref="F120:G120"/>
    <mergeCell ref="F121:G121"/>
    <mergeCell ref="F122:G122"/>
    <mergeCell ref="F123:G123"/>
    <mergeCell ref="F124:G124"/>
    <mergeCell ref="F113:G113"/>
    <mergeCell ref="F114:G114"/>
    <mergeCell ref="F115:G115"/>
    <mergeCell ref="F116:G116"/>
    <mergeCell ref="F117:G117"/>
    <mergeCell ref="F118:G118"/>
    <mergeCell ref="F107:G107"/>
    <mergeCell ref="F108:G108"/>
    <mergeCell ref="F109:G109"/>
    <mergeCell ref="F110:G110"/>
    <mergeCell ref="F111:G111"/>
    <mergeCell ref="F112:G112"/>
    <mergeCell ref="F101:G101"/>
    <mergeCell ref="F102:G102"/>
    <mergeCell ref="F103:G103"/>
    <mergeCell ref="F104:G104"/>
    <mergeCell ref="F105:G105"/>
    <mergeCell ref="F106:G106"/>
    <mergeCell ref="F95:G95"/>
    <mergeCell ref="F96:G96"/>
    <mergeCell ref="F97:G97"/>
    <mergeCell ref="F98:G98"/>
    <mergeCell ref="F99:G99"/>
    <mergeCell ref="F100:G100"/>
    <mergeCell ref="F89:G89"/>
    <mergeCell ref="F90:G90"/>
    <mergeCell ref="F91:G91"/>
    <mergeCell ref="F92:G92"/>
    <mergeCell ref="F93:G93"/>
    <mergeCell ref="F94:G94"/>
    <mergeCell ref="F83:G83"/>
    <mergeCell ref="F84:G84"/>
    <mergeCell ref="F85:G85"/>
    <mergeCell ref="F86:G86"/>
    <mergeCell ref="F87:G87"/>
    <mergeCell ref="F88:G88"/>
    <mergeCell ref="F77:G77"/>
    <mergeCell ref="F78:G78"/>
    <mergeCell ref="F79:G79"/>
    <mergeCell ref="F80:G80"/>
    <mergeCell ref="F81:G81"/>
    <mergeCell ref="F82:G82"/>
    <mergeCell ref="F71:G71"/>
    <mergeCell ref="F72:G72"/>
    <mergeCell ref="F73:G73"/>
    <mergeCell ref="F74:G74"/>
    <mergeCell ref="F75:G75"/>
    <mergeCell ref="F76:G76"/>
    <mergeCell ref="F65:G65"/>
    <mergeCell ref="F66:G66"/>
    <mergeCell ref="F67:G67"/>
    <mergeCell ref="F68:G68"/>
    <mergeCell ref="F69:G69"/>
    <mergeCell ref="F70:G70"/>
    <mergeCell ref="F59:G59"/>
    <mergeCell ref="F60:G60"/>
    <mergeCell ref="F61:G61"/>
    <mergeCell ref="F62:G62"/>
    <mergeCell ref="F63:G63"/>
    <mergeCell ref="F64:G64"/>
    <mergeCell ref="F53:G53"/>
    <mergeCell ref="F54:G54"/>
    <mergeCell ref="F55:G55"/>
    <mergeCell ref="F56:G56"/>
    <mergeCell ref="F57:G57"/>
    <mergeCell ref="F58:G58"/>
    <mergeCell ref="F47:G47"/>
    <mergeCell ref="F48:G48"/>
    <mergeCell ref="F49:G49"/>
    <mergeCell ref="F50:G50"/>
    <mergeCell ref="F51:G51"/>
    <mergeCell ref="F52:G52"/>
    <mergeCell ref="F41:G41"/>
    <mergeCell ref="F42:G42"/>
    <mergeCell ref="F43:G43"/>
    <mergeCell ref="F44:G44"/>
    <mergeCell ref="F45:G45"/>
    <mergeCell ref="F46:G46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F33:G33"/>
    <mergeCell ref="F34:G34"/>
    <mergeCell ref="F23:G23"/>
    <mergeCell ref="F24:G24"/>
    <mergeCell ref="F25:G25"/>
    <mergeCell ref="F26:G26"/>
    <mergeCell ref="F27:G27"/>
    <mergeCell ref="F28:G28"/>
    <mergeCell ref="F17:G17"/>
    <mergeCell ref="F18:G18"/>
    <mergeCell ref="F19:G19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F5:G5"/>
    <mergeCell ref="F6:G6"/>
    <mergeCell ref="F7:G7"/>
    <mergeCell ref="F8:G8"/>
    <mergeCell ref="F9:G9"/>
    <mergeCell ref="F10:G10"/>
    <mergeCell ref="A1:E1"/>
    <mergeCell ref="F1:G1"/>
    <mergeCell ref="A3:A4"/>
    <mergeCell ref="B3:B4"/>
    <mergeCell ref="C3:C4"/>
    <mergeCell ref="D3:D4"/>
    <mergeCell ref="E3:E4"/>
    <mergeCell ref="F3:F4"/>
  </mergeCells>
  <phoneticPr fontId="1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3F074-1E53-4524-A97C-0896379B3D81}">
  <dimension ref="A1:G252"/>
  <sheetViews>
    <sheetView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J11" sqref="J11"/>
    </sheetView>
  </sheetViews>
  <sheetFormatPr defaultRowHeight="16.5" x14ac:dyDescent="0.25"/>
  <cols>
    <col min="1" max="1" width="10.375" bestFit="1" customWidth="1"/>
    <col min="2" max="2" width="14.375" customWidth="1"/>
    <col min="3" max="3" width="10.375" bestFit="1" customWidth="1"/>
    <col min="4" max="4" width="8.125" bestFit="1" customWidth="1"/>
    <col min="5" max="5" width="10.375" bestFit="1" customWidth="1"/>
    <col min="7" max="7" width="14.125" bestFit="1" customWidth="1"/>
    <col min="10" max="10" width="13.875" customWidth="1"/>
  </cols>
  <sheetData>
    <row r="1" spans="1:7" x14ac:dyDescent="0.25">
      <c r="A1" s="49" t="s">
        <v>7</v>
      </c>
      <c r="B1" s="49"/>
      <c r="C1" s="49"/>
      <c r="D1" s="49"/>
      <c r="E1" s="49"/>
      <c r="F1" s="65" t="s">
        <v>50</v>
      </c>
      <c r="G1" s="65"/>
    </row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25">
      <c r="A3" s="83">
        <f>(E3-F3)/D3</f>
        <v>846.39</v>
      </c>
      <c r="B3" s="63">
        <f>E3/D3</f>
        <v>855.79</v>
      </c>
      <c r="C3" s="84">
        <f>SUM('2330股價'!B2)</f>
        <v>2290</v>
      </c>
      <c r="D3" s="55">
        <f>SUM(D6:D999)</f>
        <v>100</v>
      </c>
      <c r="E3" s="55">
        <f>SUM(E6:E999)</f>
        <v>85579</v>
      </c>
      <c r="F3" s="55">
        <f>SUM(F6:F999)</f>
        <v>940</v>
      </c>
      <c r="G3" s="7">
        <f>G4/E3</f>
        <v>1.6868741163135816</v>
      </c>
    </row>
    <row r="4" spans="1:7" x14ac:dyDescent="0.25">
      <c r="A4" s="83"/>
      <c r="B4" s="63"/>
      <c r="C4" s="84"/>
      <c r="D4" s="55"/>
      <c r="E4" s="55"/>
      <c r="F4" s="55"/>
      <c r="G4" s="33">
        <f>(C3-B3)*D3+F3</f>
        <v>144361</v>
      </c>
    </row>
    <row r="5" spans="1:7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1" t="s">
        <v>5</v>
      </c>
      <c r="G5" s="51"/>
    </row>
    <row r="6" spans="1:7" x14ac:dyDescent="0.25">
      <c r="A6" s="10">
        <v>1</v>
      </c>
      <c r="B6" s="28">
        <v>20250415</v>
      </c>
      <c r="C6" s="28">
        <v>855</v>
      </c>
      <c r="D6" s="28">
        <v>100</v>
      </c>
      <c r="E6" s="28">
        <v>85579</v>
      </c>
      <c r="F6" s="62"/>
      <c r="G6" s="62"/>
    </row>
    <row r="7" spans="1:7" x14ac:dyDescent="0.25">
      <c r="A7" s="10">
        <v>2</v>
      </c>
      <c r="B7" s="28">
        <v>20250711</v>
      </c>
      <c r="C7" s="28"/>
      <c r="D7" s="28"/>
      <c r="E7" s="28"/>
      <c r="F7" s="62">
        <v>445</v>
      </c>
      <c r="G7" s="62"/>
    </row>
    <row r="8" spans="1:7" x14ac:dyDescent="0.25">
      <c r="A8" s="10">
        <v>3</v>
      </c>
      <c r="B8" s="28">
        <v>20251009</v>
      </c>
      <c r="C8" s="28"/>
      <c r="D8" s="28"/>
      <c r="E8" s="28"/>
      <c r="F8" s="62">
        <v>495</v>
      </c>
      <c r="G8" s="62"/>
    </row>
    <row r="9" spans="1:7" x14ac:dyDescent="0.25">
      <c r="A9" s="10">
        <v>4</v>
      </c>
      <c r="B9" s="39"/>
      <c r="C9" s="39"/>
      <c r="D9" s="39"/>
      <c r="E9" s="39"/>
      <c r="F9" s="46"/>
      <c r="G9" s="46"/>
    </row>
    <row r="10" spans="1:7" x14ac:dyDescent="0.25">
      <c r="A10" s="10">
        <v>5</v>
      </c>
      <c r="B10" s="39"/>
      <c r="C10" s="39"/>
      <c r="D10" s="39"/>
      <c r="E10" s="39"/>
      <c r="F10" s="46"/>
      <c r="G10" s="46"/>
    </row>
    <row r="11" spans="1:7" x14ac:dyDescent="0.25">
      <c r="A11" s="10">
        <v>6</v>
      </c>
      <c r="B11" s="39"/>
      <c r="C11" s="39"/>
      <c r="D11" s="39"/>
      <c r="E11" s="39"/>
      <c r="F11" s="77"/>
      <c r="G11" s="78"/>
    </row>
    <row r="12" spans="1:7" x14ac:dyDescent="0.25">
      <c r="A12" s="10">
        <v>7</v>
      </c>
      <c r="B12" s="39"/>
      <c r="C12" s="39"/>
      <c r="D12" s="39"/>
      <c r="E12" s="39"/>
      <c r="F12" s="77"/>
      <c r="G12" s="78"/>
    </row>
    <row r="13" spans="1:7" x14ac:dyDescent="0.25">
      <c r="A13" s="10">
        <v>8</v>
      </c>
      <c r="B13" s="39"/>
      <c r="C13" s="39"/>
      <c r="D13" s="39"/>
      <c r="E13" s="39"/>
      <c r="F13" s="77"/>
      <c r="G13" s="78"/>
    </row>
    <row r="14" spans="1:7" x14ac:dyDescent="0.25">
      <c r="A14" s="10">
        <v>9</v>
      </c>
      <c r="B14" s="39"/>
      <c r="C14" s="39"/>
      <c r="D14" s="39"/>
      <c r="E14" s="39"/>
      <c r="F14" s="77"/>
      <c r="G14" s="78"/>
    </row>
    <row r="15" spans="1:7" x14ac:dyDescent="0.25">
      <c r="A15" s="10">
        <v>10</v>
      </c>
      <c r="B15" s="39"/>
      <c r="C15" s="39"/>
      <c r="D15" s="39"/>
      <c r="E15" s="39"/>
      <c r="F15" s="77"/>
      <c r="G15" s="78"/>
    </row>
    <row r="16" spans="1:7" x14ac:dyDescent="0.25">
      <c r="A16" s="10">
        <v>11</v>
      </c>
      <c r="B16" s="6"/>
      <c r="C16" s="6"/>
      <c r="D16" s="6"/>
      <c r="E16" s="6"/>
      <c r="F16" s="79"/>
      <c r="G16" s="80"/>
    </row>
    <row r="17" spans="1:7" x14ac:dyDescent="0.25">
      <c r="A17" s="10">
        <v>12</v>
      </c>
      <c r="B17" s="6"/>
      <c r="C17" s="6"/>
      <c r="D17" s="6"/>
      <c r="E17" s="6"/>
      <c r="F17" s="79"/>
      <c r="G17" s="80"/>
    </row>
    <row r="18" spans="1:7" x14ac:dyDescent="0.25">
      <c r="A18" s="10">
        <v>13</v>
      </c>
      <c r="B18" s="6"/>
      <c r="C18" s="6"/>
      <c r="D18" s="6"/>
      <c r="E18" s="6"/>
      <c r="F18" s="79"/>
      <c r="G18" s="80"/>
    </row>
    <row r="19" spans="1:7" x14ac:dyDescent="0.25">
      <c r="A19" s="10">
        <v>14</v>
      </c>
      <c r="B19" s="6"/>
      <c r="C19" s="6"/>
      <c r="D19" s="6"/>
      <c r="E19" s="6"/>
      <c r="F19" s="79"/>
      <c r="G19" s="80"/>
    </row>
    <row r="20" spans="1:7" x14ac:dyDescent="0.25">
      <c r="A20" s="10">
        <v>15</v>
      </c>
      <c r="B20" s="6"/>
      <c r="C20" s="6"/>
      <c r="D20" s="6"/>
      <c r="E20" s="6"/>
      <c r="F20" s="79"/>
      <c r="G20" s="80"/>
    </row>
    <row r="21" spans="1:7" x14ac:dyDescent="0.25">
      <c r="A21" s="10">
        <v>16</v>
      </c>
      <c r="B21" s="6"/>
      <c r="C21" s="6"/>
      <c r="D21" s="6"/>
      <c r="E21" s="6"/>
      <c r="F21" s="79"/>
      <c r="G21" s="80"/>
    </row>
    <row r="22" spans="1:7" x14ac:dyDescent="0.25">
      <c r="A22" s="10">
        <v>17</v>
      </c>
      <c r="B22" s="6"/>
      <c r="C22" s="6"/>
      <c r="D22" s="6"/>
      <c r="E22" s="6"/>
      <c r="F22" s="81"/>
      <c r="G22" s="82"/>
    </row>
    <row r="23" spans="1:7" x14ac:dyDescent="0.25">
      <c r="A23" s="10">
        <v>18</v>
      </c>
      <c r="B23" s="6"/>
      <c r="C23" s="6"/>
      <c r="D23" s="6"/>
      <c r="E23" s="6"/>
      <c r="F23" s="81"/>
      <c r="G23" s="82"/>
    </row>
    <row r="24" spans="1:7" x14ac:dyDescent="0.25">
      <c r="A24" s="10">
        <v>19</v>
      </c>
      <c r="B24" s="5"/>
      <c r="C24" s="5"/>
      <c r="D24" s="5"/>
      <c r="E24" s="5"/>
      <c r="F24" s="75"/>
      <c r="G24" s="76"/>
    </row>
    <row r="25" spans="1:7" x14ac:dyDescent="0.25">
      <c r="A25" s="10">
        <v>20</v>
      </c>
      <c r="B25" s="5"/>
      <c r="C25" s="5"/>
      <c r="D25" s="5"/>
      <c r="E25" s="5"/>
      <c r="F25" s="75"/>
      <c r="G25" s="76"/>
    </row>
    <row r="26" spans="1:7" x14ac:dyDescent="0.25">
      <c r="A26" s="10">
        <v>21</v>
      </c>
      <c r="B26" s="5"/>
      <c r="C26" s="5"/>
      <c r="D26" s="5"/>
      <c r="E26" s="5"/>
      <c r="F26" s="75"/>
      <c r="G26" s="76"/>
    </row>
    <row r="27" spans="1:7" x14ac:dyDescent="0.25">
      <c r="A27" s="10">
        <v>22</v>
      </c>
      <c r="B27" s="5"/>
      <c r="C27" s="5"/>
      <c r="D27" s="5"/>
      <c r="E27" s="5"/>
      <c r="F27" s="75"/>
      <c r="G27" s="76"/>
    </row>
    <row r="28" spans="1:7" x14ac:dyDescent="0.25">
      <c r="A28" s="10">
        <v>23</v>
      </c>
      <c r="B28" s="5"/>
      <c r="C28" s="5"/>
      <c r="D28" s="5"/>
      <c r="E28" s="5"/>
      <c r="F28" s="75"/>
      <c r="G28" s="76"/>
    </row>
    <row r="29" spans="1:7" x14ac:dyDescent="0.25">
      <c r="A29" s="10">
        <v>24</v>
      </c>
      <c r="B29" s="5"/>
      <c r="C29" s="5"/>
      <c r="D29" s="5"/>
      <c r="E29" s="5"/>
      <c r="F29" s="75"/>
      <c r="G29" s="76"/>
    </row>
    <row r="30" spans="1:7" x14ac:dyDescent="0.25">
      <c r="A30" s="10">
        <v>25</v>
      </c>
      <c r="B30" s="5"/>
      <c r="C30" s="5"/>
      <c r="D30" s="5"/>
      <c r="E30" s="5"/>
      <c r="F30" s="75"/>
      <c r="G30" s="76"/>
    </row>
    <row r="31" spans="1:7" x14ac:dyDescent="0.25">
      <c r="A31" s="10">
        <v>26</v>
      </c>
      <c r="B31" s="5"/>
      <c r="C31" s="5"/>
      <c r="D31" s="5"/>
      <c r="E31" s="5"/>
      <c r="F31" s="75"/>
      <c r="G31" s="76"/>
    </row>
    <row r="32" spans="1:7" x14ac:dyDescent="0.25">
      <c r="A32" s="10">
        <v>27</v>
      </c>
      <c r="B32" s="5"/>
      <c r="C32" s="5"/>
      <c r="D32" s="5"/>
      <c r="E32" s="5"/>
      <c r="F32" s="75"/>
      <c r="G32" s="76"/>
    </row>
    <row r="33" spans="1:7" x14ac:dyDescent="0.25">
      <c r="A33" s="10">
        <v>28</v>
      </c>
      <c r="B33" s="5"/>
      <c r="C33" s="5"/>
      <c r="D33" s="5"/>
      <c r="E33" s="5"/>
      <c r="F33" s="75"/>
      <c r="G33" s="76"/>
    </row>
    <row r="34" spans="1:7" x14ac:dyDescent="0.25">
      <c r="A34" s="10">
        <v>29</v>
      </c>
      <c r="B34" s="5"/>
      <c r="C34" s="5"/>
      <c r="D34" s="5"/>
      <c r="E34" s="5"/>
      <c r="F34" s="75"/>
      <c r="G34" s="76"/>
    </row>
    <row r="35" spans="1:7" x14ac:dyDescent="0.25">
      <c r="A35" s="10">
        <v>30</v>
      </c>
      <c r="B35" s="5"/>
      <c r="C35" s="5"/>
      <c r="D35" s="5"/>
      <c r="E35" s="5"/>
      <c r="F35" s="75"/>
      <c r="G35" s="76"/>
    </row>
    <row r="36" spans="1:7" x14ac:dyDescent="0.25">
      <c r="A36" s="10">
        <v>31</v>
      </c>
      <c r="B36" s="5"/>
      <c r="C36" s="5"/>
      <c r="D36" s="5"/>
      <c r="E36" s="5"/>
      <c r="F36" s="75"/>
      <c r="G36" s="76"/>
    </row>
    <row r="37" spans="1:7" x14ac:dyDescent="0.25">
      <c r="A37" s="10">
        <v>32</v>
      </c>
      <c r="B37" s="5"/>
      <c r="C37" s="5"/>
      <c r="D37" s="5"/>
      <c r="E37" s="5"/>
      <c r="F37" s="75"/>
      <c r="G37" s="76"/>
    </row>
    <row r="38" spans="1:7" x14ac:dyDescent="0.25">
      <c r="A38" s="10">
        <v>33</v>
      </c>
      <c r="B38" s="5"/>
      <c r="C38" s="5"/>
      <c r="D38" s="5"/>
      <c r="E38" s="5"/>
      <c r="F38" s="75"/>
      <c r="G38" s="76"/>
    </row>
    <row r="39" spans="1:7" x14ac:dyDescent="0.25">
      <c r="A39" s="10">
        <v>34</v>
      </c>
      <c r="B39" s="5"/>
      <c r="C39" s="5"/>
      <c r="D39" s="5"/>
      <c r="E39" s="5"/>
      <c r="F39" s="75"/>
      <c r="G39" s="76"/>
    </row>
    <row r="40" spans="1:7" x14ac:dyDescent="0.25">
      <c r="A40" s="10">
        <v>35</v>
      </c>
      <c r="B40" s="5"/>
      <c r="C40" s="5"/>
      <c r="D40" s="5"/>
      <c r="E40" s="5"/>
      <c r="F40" s="75"/>
      <c r="G40" s="76"/>
    </row>
    <row r="41" spans="1:7" x14ac:dyDescent="0.25">
      <c r="A41" s="10">
        <v>36</v>
      </c>
      <c r="B41" s="5"/>
      <c r="C41" s="5"/>
      <c r="D41" s="5"/>
      <c r="E41" s="5"/>
      <c r="F41" s="75"/>
      <c r="G41" s="76"/>
    </row>
    <row r="42" spans="1:7" x14ac:dyDescent="0.25">
      <c r="A42" s="10">
        <v>37</v>
      </c>
      <c r="B42" s="5"/>
      <c r="C42" s="5"/>
      <c r="D42" s="5"/>
      <c r="E42" s="5"/>
      <c r="F42" s="75"/>
      <c r="G42" s="76"/>
    </row>
    <row r="43" spans="1:7" x14ac:dyDescent="0.25">
      <c r="A43" s="10">
        <v>38</v>
      </c>
      <c r="B43" s="5"/>
      <c r="C43" s="5"/>
      <c r="D43" s="5"/>
      <c r="E43" s="5"/>
      <c r="F43" s="75"/>
      <c r="G43" s="76"/>
    </row>
    <row r="44" spans="1:7" x14ac:dyDescent="0.25">
      <c r="A44" s="10">
        <v>39</v>
      </c>
      <c r="B44" s="5"/>
      <c r="C44" s="5"/>
      <c r="D44" s="5"/>
      <c r="E44" s="5"/>
      <c r="F44" s="75"/>
      <c r="G44" s="76"/>
    </row>
    <row r="45" spans="1:7" x14ac:dyDescent="0.25">
      <c r="A45" s="10">
        <v>40</v>
      </c>
      <c r="B45" s="5"/>
      <c r="C45" s="5"/>
      <c r="D45" s="5"/>
      <c r="E45" s="5"/>
      <c r="F45" s="75"/>
      <c r="G45" s="76"/>
    </row>
    <row r="46" spans="1:7" x14ac:dyDescent="0.25">
      <c r="A46" s="10">
        <v>41</v>
      </c>
      <c r="B46" s="5"/>
      <c r="C46" s="5"/>
      <c r="D46" s="5"/>
      <c r="E46" s="5"/>
      <c r="F46" s="75"/>
      <c r="G46" s="76"/>
    </row>
    <row r="47" spans="1:7" x14ac:dyDescent="0.25">
      <c r="A47" s="10">
        <v>42</v>
      </c>
      <c r="B47" s="5"/>
      <c r="C47" s="5"/>
      <c r="D47" s="5"/>
      <c r="E47" s="5"/>
      <c r="F47" s="75"/>
      <c r="G47" s="76"/>
    </row>
    <row r="48" spans="1:7" x14ac:dyDescent="0.25">
      <c r="A48" s="10">
        <v>43</v>
      </c>
      <c r="B48" s="5"/>
      <c r="C48" s="5"/>
      <c r="D48" s="5"/>
      <c r="E48" s="5"/>
      <c r="F48" s="75"/>
      <c r="G48" s="76"/>
    </row>
    <row r="49" spans="1:7" x14ac:dyDescent="0.25">
      <c r="A49" s="10">
        <v>44</v>
      </c>
      <c r="B49" s="5"/>
      <c r="C49" s="5"/>
      <c r="D49" s="5"/>
      <c r="E49" s="5"/>
      <c r="F49" s="75"/>
      <c r="G49" s="76"/>
    </row>
    <row r="50" spans="1:7" x14ac:dyDescent="0.25">
      <c r="A50" s="10">
        <v>45</v>
      </c>
      <c r="B50" s="5"/>
      <c r="C50" s="5"/>
      <c r="D50" s="5"/>
      <c r="E50" s="5"/>
      <c r="F50" s="75"/>
      <c r="G50" s="76"/>
    </row>
    <row r="51" spans="1:7" x14ac:dyDescent="0.25">
      <c r="A51" s="10">
        <v>46</v>
      </c>
      <c r="B51" s="5"/>
      <c r="C51" s="5"/>
      <c r="D51" s="5"/>
      <c r="E51" s="5"/>
      <c r="F51" s="75"/>
      <c r="G51" s="76"/>
    </row>
    <row r="52" spans="1:7" x14ac:dyDescent="0.25">
      <c r="A52" s="10">
        <v>47</v>
      </c>
      <c r="B52" s="5"/>
      <c r="C52" s="5"/>
      <c r="D52" s="5"/>
      <c r="E52" s="5"/>
      <c r="F52" s="75"/>
      <c r="G52" s="76"/>
    </row>
    <row r="53" spans="1:7" x14ac:dyDescent="0.25">
      <c r="A53" s="10">
        <v>48</v>
      </c>
      <c r="B53" s="5"/>
      <c r="C53" s="5"/>
      <c r="D53" s="5"/>
      <c r="E53" s="5"/>
      <c r="F53" s="75"/>
      <c r="G53" s="76"/>
    </row>
    <row r="54" spans="1:7" x14ac:dyDescent="0.25">
      <c r="A54" s="10">
        <v>49</v>
      </c>
      <c r="B54" s="5"/>
      <c r="C54" s="5"/>
      <c r="D54" s="5"/>
      <c r="E54" s="5"/>
      <c r="F54" s="75"/>
      <c r="G54" s="76"/>
    </row>
    <row r="55" spans="1:7" x14ac:dyDescent="0.25">
      <c r="A55" s="10">
        <v>50</v>
      </c>
      <c r="B55" s="5"/>
      <c r="C55" s="5"/>
      <c r="D55" s="5"/>
      <c r="E55" s="5"/>
      <c r="F55" s="75"/>
      <c r="G55" s="76"/>
    </row>
    <row r="56" spans="1:7" x14ac:dyDescent="0.25">
      <c r="A56" s="10">
        <v>51</v>
      </c>
      <c r="B56" s="5"/>
      <c r="C56" s="5"/>
      <c r="D56" s="5"/>
      <c r="E56" s="5"/>
      <c r="F56" s="75"/>
      <c r="G56" s="76"/>
    </row>
    <row r="57" spans="1:7" x14ac:dyDescent="0.25">
      <c r="A57" s="10">
        <v>52</v>
      </c>
      <c r="B57" s="5"/>
      <c r="C57" s="5"/>
      <c r="D57" s="5"/>
      <c r="E57" s="5"/>
      <c r="F57" s="75"/>
      <c r="G57" s="76"/>
    </row>
    <row r="58" spans="1:7" x14ac:dyDescent="0.25">
      <c r="A58" s="10">
        <v>53</v>
      </c>
      <c r="B58" s="5"/>
      <c r="C58" s="5"/>
      <c r="D58" s="5"/>
      <c r="E58" s="5"/>
      <c r="F58" s="75"/>
      <c r="G58" s="76"/>
    </row>
    <row r="59" spans="1:7" x14ac:dyDescent="0.25">
      <c r="A59" s="10">
        <v>54</v>
      </c>
      <c r="B59" s="5"/>
      <c r="C59" s="5"/>
      <c r="D59" s="5"/>
      <c r="E59" s="5"/>
      <c r="F59" s="75"/>
      <c r="G59" s="76"/>
    </row>
    <row r="60" spans="1:7" x14ac:dyDescent="0.25">
      <c r="A60" s="10">
        <v>55</v>
      </c>
      <c r="B60" s="5"/>
      <c r="C60" s="5"/>
      <c r="D60" s="5"/>
      <c r="E60" s="5"/>
      <c r="F60" s="75"/>
      <c r="G60" s="76"/>
    </row>
    <row r="61" spans="1:7" x14ac:dyDescent="0.25">
      <c r="A61" s="10">
        <v>56</v>
      </c>
      <c r="B61" s="5"/>
      <c r="C61" s="5"/>
      <c r="D61" s="5"/>
      <c r="E61" s="5"/>
      <c r="F61" s="75"/>
      <c r="G61" s="76"/>
    </row>
    <row r="62" spans="1:7" x14ac:dyDescent="0.25">
      <c r="A62" s="10">
        <v>57</v>
      </c>
      <c r="B62" s="5"/>
      <c r="C62" s="5"/>
      <c r="D62" s="5"/>
      <c r="E62" s="5"/>
      <c r="F62" s="75"/>
      <c r="G62" s="76"/>
    </row>
    <row r="63" spans="1:7" x14ac:dyDescent="0.25">
      <c r="A63" s="10">
        <v>58</v>
      </c>
      <c r="B63" s="5"/>
      <c r="C63" s="5"/>
      <c r="D63" s="5"/>
      <c r="E63" s="5"/>
      <c r="F63" s="75"/>
      <c r="G63" s="76"/>
    </row>
    <row r="64" spans="1:7" x14ac:dyDescent="0.25">
      <c r="A64" s="10">
        <v>59</v>
      </c>
      <c r="B64" s="5"/>
      <c r="C64" s="5"/>
      <c r="D64" s="5"/>
      <c r="E64" s="5"/>
      <c r="F64" s="75"/>
      <c r="G64" s="76"/>
    </row>
    <row r="65" spans="1:7" x14ac:dyDescent="0.25">
      <c r="A65" s="10">
        <v>60</v>
      </c>
      <c r="B65" s="5"/>
      <c r="C65" s="5"/>
      <c r="D65" s="5"/>
      <c r="E65" s="5"/>
      <c r="F65" s="75"/>
      <c r="G65" s="76"/>
    </row>
    <row r="66" spans="1:7" x14ac:dyDescent="0.25">
      <c r="A66" s="10">
        <v>61</v>
      </c>
      <c r="B66" s="5"/>
      <c r="C66" s="5"/>
      <c r="D66" s="5"/>
      <c r="E66" s="5"/>
      <c r="F66" s="75"/>
      <c r="G66" s="76"/>
    </row>
    <row r="67" spans="1:7" x14ac:dyDescent="0.25">
      <c r="A67" s="10">
        <v>62</v>
      </c>
      <c r="B67" s="5"/>
      <c r="C67" s="5"/>
      <c r="D67" s="5"/>
      <c r="E67" s="5"/>
      <c r="F67" s="75"/>
      <c r="G67" s="76"/>
    </row>
    <row r="68" spans="1:7" x14ac:dyDescent="0.25">
      <c r="A68" s="10">
        <v>63</v>
      </c>
      <c r="B68" s="5"/>
      <c r="C68" s="5"/>
      <c r="D68" s="5"/>
      <c r="E68" s="5"/>
      <c r="F68" s="75"/>
      <c r="G68" s="76"/>
    </row>
    <row r="69" spans="1:7" x14ac:dyDescent="0.25">
      <c r="A69" s="10">
        <v>64</v>
      </c>
      <c r="B69" s="5"/>
      <c r="C69" s="5"/>
      <c r="D69" s="5"/>
      <c r="E69" s="5"/>
      <c r="F69" s="75"/>
      <c r="G69" s="76"/>
    </row>
    <row r="70" spans="1:7" x14ac:dyDescent="0.25">
      <c r="A70" s="10">
        <v>65</v>
      </c>
      <c r="B70" s="5"/>
      <c r="C70" s="5"/>
      <c r="D70" s="5"/>
      <c r="E70" s="5"/>
      <c r="F70" s="75"/>
      <c r="G70" s="76"/>
    </row>
    <row r="71" spans="1:7" x14ac:dyDescent="0.25">
      <c r="A71" s="10">
        <v>66</v>
      </c>
      <c r="B71" s="5"/>
      <c r="C71" s="5"/>
      <c r="D71" s="5"/>
      <c r="E71" s="5"/>
      <c r="F71" s="75"/>
      <c r="G71" s="76"/>
    </row>
    <row r="72" spans="1:7" x14ac:dyDescent="0.25">
      <c r="A72" s="10">
        <v>67</v>
      </c>
      <c r="B72" s="5"/>
      <c r="C72" s="5"/>
      <c r="D72" s="5"/>
      <c r="E72" s="5"/>
      <c r="F72" s="75"/>
      <c r="G72" s="76"/>
    </row>
    <row r="73" spans="1:7" x14ac:dyDescent="0.25">
      <c r="A73" s="10">
        <v>68</v>
      </c>
      <c r="B73" s="5"/>
      <c r="C73" s="5"/>
      <c r="D73" s="5"/>
      <c r="E73" s="5"/>
      <c r="F73" s="75"/>
      <c r="G73" s="76"/>
    </row>
    <row r="74" spans="1:7" x14ac:dyDescent="0.25">
      <c r="A74" s="10">
        <v>69</v>
      </c>
      <c r="B74" s="5"/>
      <c r="C74" s="5"/>
      <c r="D74" s="5"/>
      <c r="E74" s="5"/>
      <c r="F74" s="75"/>
      <c r="G74" s="76"/>
    </row>
    <row r="75" spans="1:7" x14ac:dyDescent="0.25">
      <c r="A75" s="10">
        <v>70</v>
      </c>
      <c r="B75" s="5"/>
      <c r="C75" s="5"/>
      <c r="D75" s="5"/>
      <c r="E75" s="5"/>
      <c r="F75" s="75"/>
      <c r="G75" s="76"/>
    </row>
    <row r="76" spans="1:7" x14ac:dyDescent="0.25">
      <c r="A76" s="10">
        <v>71</v>
      </c>
      <c r="B76" s="5"/>
      <c r="C76" s="5"/>
      <c r="D76" s="5"/>
      <c r="E76" s="5"/>
      <c r="F76" s="75"/>
      <c r="G76" s="76"/>
    </row>
    <row r="77" spans="1:7" x14ac:dyDescent="0.25">
      <c r="A77" s="10">
        <v>72</v>
      </c>
      <c r="B77" s="5"/>
      <c r="C77" s="5"/>
      <c r="D77" s="5"/>
      <c r="E77" s="5"/>
      <c r="F77" s="75"/>
      <c r="G77" s="76"/>
    </row>
    <row r="78" spans="1:7" x14ac:dyDescent="0.25">
      <c r="A78" s="10">
        <v>73</v>
      </c>
      <c r="B78" s="5"/>
      <c r="C78" s="5"/>
      <c r="D78" s="5"/>
      <c r="E78" s="5"/>
      <c r="F78" s="75"/>
      <c r="G78" s="76"/>
    </row>
    <row r="79" spans="1:7" x14ac:dyDescent="0.25">
      <c r="A79" s="10">
        <v>74</v>
      </c>
      <c r="B79" s="5"/>
      <c r="C79" s="5"/>
      <c r="D79" s="5"/>
      <c r="E79" s="5"/>
      <c r="F79" s="75"/>
      <c r="G79" s="76"/>
    </row>
    <row r="80" spans="1:7" x14ac:dyDescent="0.25">
      <c r="A80" s="10">
        <v>75</v>
      </c>
      <c r="B80" s="5"/>
      <c r="C80" s="5"/>
      <c r="D80" s="5"/>
      <c r="E80" s="5"/>
      <c r="F80" s="75"/>
      <c r="G80" s="76"/>
    </row>
    <row r="81" spans="1:7" x14ac:dyDescent="0.25">
      <c r="A81" s="10">
        <v>76</v>
      </c>
      <c r="B81" s="5"/>
      <c r="C81" s="5"/>
      <c r="D81" s="5"/>
      <c r="E81" s="5"/>
      <c r="F81" s="75"/>
      <c r="G81" s="76"/>
    </row>
    <row r="82" spans="1:7" x14ac:dyDescent="0.25">
      <c r="A82" s="10">
        <v>77</v>
      </c>
      <c r="B82" s="5"/>
      <c r="C82" s="5"/>
      <c r="D82" s="5"/>
      <c r="E82" s="5"/>
      <c r="F82" s="75"/>
      <c r="G82" s="76"/>
    </row>
    <row r="83" spans="1:7" x14ac:dyDescent="0.25">
      <c r="A83" s="10">
        <v>78</v>
      </c>
      <c r="B83" s="5"/>
      <c r="C83" s="5"/>
      <c r="D83" s="5"/>
      <c r="E83" s="5"/>
      <c r="F83" s="75"/>
      <c r="G83" s="76"/>
    </row>
    <row r="84" spans="1:7" x14ac:dyDescent="0.25">
      <c r="A84" s="10">
        <v>79</v>
      </c>
      <c r="B84" s="5"/>
      <c r="C84" s="5"/>
      <c r="D84" s="5"/>
      <c r="E84" s="5"/>
      <c r="F84" s="75"/>
      <c r="G84" s="76"/>
    </row>
    <row r="85" spans="1:7" x14ac:dyDescent="0.25">
      <c r="A85" s="10">
        <v>80</v>
      </c>
      <c r="B85" s="5"/>
      <c r="C85" s="5"/>
      <c r="D85" s="5"/>
      <c r="E85" s="5"/>
      <c r="F85" s="75"/>
      <c r="G85" s="76"/>
    </row>
    <row r="86" spans="1:7" x14ac:dyDescent="0.25">
      <c r="A86" s="10">
        <v>81</v>
      </c>
      <c r="B86" s="5"/>
      <c r="C86" s="5"/>
      <c r="D86" s="5"/>
      <c r="E86" s="5"/>
      <c r="F86" s="75"/>
      <c r="G86" s="76"/>
    </row>
    <row r="87" spans="1:7" x14ac:dyDescent="0.25">
      <c r="A87" s="10">
        <v>82</v>
      </c>
      <c r="B87" s="5"/>
      <c r="C87" s="5"/>
      <c r="D87" s="5"/>
      <c r="E87" s="5"/>
      <c r="F87" s="75"/>
      <c r="G87" s="76"/>
    </row>
    <row r="88" spans="1:7" x14ac:dyDescent="0.25">
      <c r="A88" s="10">
        <v>83</v>
      </c>
      <c r="B88" s="5"/>
      <c r="C88" s="5"/>
      <c r="D88" s="5"/>
      <c r="E88" s="5"/>
      <c r="F88" s="75"/>
      <c r="G88" s="76"/>
    </row>
    <row r="89" spans="1:7" x14ac:dyDescent="0.25">
      <c r="A89" s="10">
        <v>84</v>
      </c>
      <c r="B89" s="5"/>
      <c r="C89" s="5"/>
      <c r="D89" s="5"/>
      <c r="E89" s="5"/>
      <c r="F89" s="75"/>
      <c r="G89" s="76"/>
    </row>
    <row r="90" spans="1:7" x14ac:dyDescent="0.25">
      <c r="A90" s="10">
        <v>85</v>
      </c>
      <c r="B90" s="5"/>
      <c r="C90" s="5"/>
      <c r="D90" s="5"/>
      <c r="E90" s="5"/>
      <c r="F90" s="75"/>
      <c r="G90" s="76"/>
    </row>
    <row r="91" spans="1:7" x14ac:dyDescent="0.25">
      <c r="A91" s="10">
        <v>86</v>
      </c>
      <c r="B91" s="5"/>
      <c r="C91" s="5"/>
      <c r="D91" s="5"/>
      <c r="E91" s="5"/>
      <c r="F91" s="75"/>
      <c r="G91" s="76"/>
    </row>
    <row r="92" spans="1:7" x14ac:dyDescent="0.25">
      <c r="A92" s="10">
        <v>87</v>
      </c>
      <c r="B92" s="5"/>
      <c r="C92" s="5"/>
      <c r="D92" s="5"/>
      <c r="E92" s="5"/>
      <c r="F92" s="75"/>
      <c r="G92" s="76"/>
    </row>
    <row r="93" spans="1:7" x14ac:dyDescent="0.25">
      <c r="A93" s="10">
        <v>88</v>
      </c>
      <c r="B93" s="5"/>
      <c r="C93" s="5"/>
      <c r="D93" s="5"/>
      <c r="E93" s="5"/>
      <c r="F93" s="75"/>
      <c r="G93" s="76"/>
    </row>
    <row r="94" spans="1:7" x14ac:dyDescent="0.25">
      <c r="A94" s="10">
        <v>89</v>
      </c>
      <c r="B94" s="5"/>
      <c r="C94" s="5"/>
      <c r="D94" s="5"/>
      <c r="E94" s="5"/>
      <c r="F94" s="75"/>
      <c r="G94" s="76"/>
    </row>
    <row r="95" spans="1:7" x14ac:dyDescent="0.25">
      <c r="A95" s="10">
        <v>90</v>
      </c>
      <c r="B95" s="5"/>
      <c r="C95" s="5"/>
      <c r="D95" s="5"/>
      <c r="E95" s="5"/>
      <c r="F95" s="75"/>
      <c r="G95" s="76"/>
    </row>
    <row r="96" spans="1:7" x14ac:dyDescent="0.25">
      <c r="A96" s="10">
        <v>91</v>
      </c>
      <c r="B96" s="5"/>
      <c r="C96" s="5"/>
      <c r="D96" s="5"/>
      <c r="E96" s="5"/>
      <c r="F96" s="75"/>
      <c r="G96" s="76"/>
    </row>
    <row r="97" spans="1:7" x14ac:dyDescent="0.25">
      <c r="A97" s="10">
        <v>92</v>
      </c>
      <c r="B97" s="5"/>
      <c r="C97" s="5"/>
      <c r="D97" s="5"/>
      <c r="E97" s="5"/>
      <c r="F97" s="75"/>
      <c r="G97" s="76"/>
    </row>
    <row r="98" spans="1:7" x14ac:dyDescent="0.25">
      <c r="A98" s="10">
        <v>93</v>
      </c>
      <c r="B98" s="5"/>
      <c r="C98" s="5"/>
      <c r="D98" s="5"/>
      <c r="E98" s="5"/>
      <c r="F98" s="75"/>
      <c r="G98" s="76"/>
    </row>
    <row r="99" spans="1:7" x14ac:dyDescent="0.25">
      <c r="A99" s="10">
        <v>94</v>
      </c>
      <c r="B99" s="5"/>
      <c r="C99" s="5"/>
      <c r="D99" s="5"/>
      <c r="E99" s="5"/>
      <c r="F99" s="75"/>
      <c r="G99" s="76"/>
    </row>
    <row r="100" spans="1:7" x14ac:dyDescent="0.25">
      <c r="A100" s="10">
        <v>95</v>
      </c>
      <c r="B100" s="5"/>
      <c r="C100" s="5"/>
      <c r="D100" s="5"/>
      <c r="E100" s="5"/>
      <c r="F100" s="75"/>
      <c r="G100" s="76"/>
    </row>
    <row r="101" spans="1:7" x14ac:dyDescent="0.25">
      <c r="A101" s="10">
        <v>96</v>
      </c>
      <c r="B101" s="5"/>
      <c r="C101" s="5"/>
      <c r="D101" s="5"/>
      <c r="E101" s="5"/>
      <c r="F101" s="75"/>
      <c r="G101" s="76"/>
    </row>
    <row r="102" spans="1:7" x14ac:dyDescent="0.25">
      <c r="A102" s="10">
        <v>97</v>
      </c>
      <c r="B102" s="5"/>
      <c r="C102" s="5"/>
      <c r="D102" s="5"/>
      <c r="E102" s="5"/>
      <c r="F102" s="75"/>
      <c r="G102" s="76"/>
    </row>
    <row r="103" spans="1:7" x14ac:dyDescent="0.25">
      <c r="A103" s="10">
        <v>98</v>
      </c>
      <c r="B103" s="5"/>
      <c r="C103" s="5"/>
      <c r="D103" s="5"/>
      <c r="E103" s="5"/>
      <c r="F103" s="75"/>
      <c r="G103" s="76"/>
    </row>
    <row r="104" spans="1:7" x14ac:dyDescent="0.25">
      <c r="A104" s="10">
        <v>99</v>
      </c>
      <c r="B104" s="5"/>
      <c r="C104" s="5"/>
      <c r="D104" s="5"/>
      <c r="E104" s="5"/>
      <c r="F104" s="75"/>
      <c r="G104" s="76"/>
    </row>
    <row r="105" spans="1:7" x14ac:dyDescent="0.25">
      <c r="A105" s="10">
        <v>100</v>
      </c>
      <c r="B105" s="5"/>
      <c r="C105" s="5"/>
      <c r="D105" s="5"/>
      <c r="E105" s="5"/>
      <c r="F105" s="75"/>
      <c r="G105" s="76"/>
    </row>
    <row r="106" spans="1:7" x14ac:dyDescent="0.25">
      <c r="A106" s="10">
        <v>101</v>
      </c>
      <c r="B106" s="5"/>
      <c r="C106" s="5"/>
      <c r="D106" s="5"/>
      <c r="E106" s="5"/>
      <c r="F106" s="75"/>
      <c r="G106" s="76"/>
    </row>
    <row r="107" spans="1:7" x14ac:dyDescent="0.25">
      <c r="A107" s="10">
        <v>102</v>
      </c>
      <c r="B107" s="5"/>
      <c r="C107" s="5"/>
      <c r="D107" s="5"/>
      <c r="E107" s="5"/>
      <c r="F107" s="75"/>
      <c r="G107" s="76"/>
    </row>
    <row r="108" spans="1:7" x14ac:dyDescent="0.25">
      <c r="A108" s="10">
        <v>103</v>
      </c>
      <c r="B108" s="5"/>
      <c r="C108" s="5"/>
      <c r="D108" s="5"/>
      <c r="E108" s="5"/>
      <c r="F108" s="75"/>
      <c r="G108" s="76"/>
    </row>
    <row r="109" spans="1:7" x14ac:dyDescent="0.25">
      <c r="A109" s="10">
        <v>104</v>
      </c>
      <c r="B109" s="5"/>
      <c r="C109" s="5"/>
      <c r="D109" s="5"/>
      <c r="E109" s="5"/>
      <c r="F109" s="75"/>
      <c r="G109" s="76"/>
    </row>
    <row r="110" spans="1:7" x14ac:dyDescent="0.25">
      <c r="A110" s="10">
        <v>105</v>
      </c>
      <c r="B110" s="5"/>
      <c r="C110" s="5"/>
      <c r="D110" s="5"/>
      <c r="E110" s="5"/>
      <c r="F110" s="75"/>
      <c r="G110" s="76"/>
    </row>
    <row r="111" spans="1:7" x14ac:dyDescent="0.25">
      <c r="A111" s="10">
        <v>106</v>
      </c>
      <c r="B111" s="5"/>
      <c r="C111" s="5"/>
      <c r="D111" s="5"/>
      <c r="E111" s="5"/>
      <c r="F111" s="75"/>
      <c r="G111" s="76"/>
    </row>
    <row r="112" spans="1:7" x14ac:dyDescent="0.25">
      <c r="A112" s="10">
        <v>107</v>
      </c>
      <c r="B112" s="5"/>
      <c r="C112" s="5"/>
      <c r="D112" s="5"/>
      <c r="E112" s="5"/>
      <c r="F112" s="75"/>
      <c r="G112" s="76"/>
    </row>
    <row r="113" spans="1:7" x14ac:dyDescent="0.25">
      <c r="A113" s="10">
        <v>108</v>
      </c>
      <c r="B113" s="5"/>
      <c r="C113" s="5"/>
      <c r="D113" s="5"/>
      <c r="E113" s="5"/>
      <c r="F113" s="75"/>
      <c r="G113" s="76"/>
    </row>
    <row r="114" spans="1:7" x14ac:dyDescent="0.25">
      <c r="A114" s="10">
        <v>109</v>
      </c>
      <c r="B114" s="5"/>
      <c r="C114" s="5"/>
      <c r="D114" s="5"/>
      <c r="E114" s="5"/>
      <c r="F114" s="75"/>
      <c r="G114" s="76"/>
    </row>
    <row r="115" spans="1:7" x14ac:dyDescent="0.25">
      <c r="A115" s="10">
        <v>110</v>
      </c>
      <c r="B115" s="5"/>
      <c r="C115" s="5"/>
      <c r="D115" s="5"/>
      <c r="E115" s="5"/>
      <c r="F115" s="75"/>
      <c r="G115" s="76"/>
    </row>
    <row r="116" spans="1:7" x14ac:dyDescent="0.25">
      <c r="A116" s="10">
        <v>111</v>
      </c>
      <c r="B116" s="5"/>
      <c r="C116" s="5"/>
      <c r="D116" s="5"/>
      <c r="E116" s="5"/>
      <c r="F116" s="75"/>
      <c r="G116" s="76"/>
    </row>
    <row r="117" spans="1:7" x14ac:dyDescent="0.25">
      <c r="A117" s="10">
        <v>112</v>
      </c>
      <c r="B117" s="5"/>
      <c r="C117" s="5"/>
      <c r="D117" s="5"/>
      <c r="E117" s="5"/>
      <c r="F117" s="75"/>
      <c r="G117" s="76"/>
    </row>
    <row r="118" spans="1:7" x14ac:dyDescent="0.25">
      <c r="A118" s="10">
        <v>113</v>
      </c>
      <c r="B118" s="5"/>
      <c r="C118" s="5"/>
      <c r="D118" s="5"/>
      <c r="E118" s="5"/>
      <c r="F118" s="75"/>
      <c r="G118" s="76"/>
    </row>
    <row r="119" spans="1:7" x14ac:dyDescent="0.25">
      <c r="A119" s="10">
        <v>114</v>
      </c>
      <c r="B119" s="5"/>
      <c r="C119" s="5"/>
      <c r="D119" s="5"/>
      <c r="E119" s="5"/>
      <c r="F119" s="75"/>
      <c r="G119" s="76"/>
    </row>
    <row r="120" spans="1:7" x14ac:dyDescent="0.25">
      <c r="A120" s="10">
        <v>115</v>
      </c>
      <c r="B120" s="5"/>
      <c r="C120" s="5"/>
      <c r="D120" s="5"/>
      <c r="E120" s="5"/>
      <c r="F120" s="75"/>
      <c r="G120" s="76"/>
    </row>
    <row r="121" spans="1:7" x14ac:dyDescent="0.25">
      <c r="A121" s="10">
        <v>116</v>
      </c>
      <c r="B121" s="5"/>
      <c r="C121" s="5"/>
      <c r="D121" s="5"/>
      <c r="E121" s="5"/>
      <c r="F121" s="75"/>
      <c r="G121" s="76"/>
    </row>
    <row r="122" spans="1:7" x14ac:dyDescent="0.25">
      <c r="A122" s="10">
        <v>117</v>
      </c>
      <c r="B122" s="5"/>
      <c r="C122" s="5"/>
      <c r="D122" s="5"/>
      <c r="E122" s="5"/>
      <c r="F122" s="75"/>
      <c r="G122" s="76"/>
    </row>
    <row r="123" spans="1:7" x14ac:dyDescent="0.25">
      <c r="A123" s="10">
        <v>118</v>
      </c>
      <c r="B123" s="5"/>
      <c r="C123" s="5"/>
      <c r="D123" s="5"/>
      <c r="E123" s="5"/>
      <c r="F123" s="75"/>
      <c r="G123" s="76"/>
    </row>
    <row r="124" spans="1:7" x14ac:dyDescent="0.25">
      <c r="A124" s="10">
        <v>119</v>
      </c>
      <c r="B124" s="5"/>
      <c r="C124" s="5"/>
      <c r="D124" s="5"/>
      <c r="E124" s="5"/>
      <c r="F124" s="75"/>
      <c r="G124" s="76"/>
    </row>
    <row r="125" spans="1:7" x14ac:dyDescent="0.25">
      <c r="A125" s="10">
        <v>120</v>
      </c>
      <c r="B125" s="5"/>
      <c r="C125" s="5"/>
      <c r="D125" s="5"/>
      <c r="E125" s="5"/>
      <c r="F125" s="75"/>
      <c r="G125" s="76"/>
    </row>
    <row r="126" spans="1:7" x14ac:dyDescent="0.25">
      <c r="A126" s="10">
        <v>121</v>
      </c>
      <c r="B126" s="5"/>
      <c r="C126" s="5"/>
      <c r="D126" s="5"/>
      <c r="E126" s="5"/>
      <c r="F126" s="75"/>
      <c r="G126" s="76"/>
    </row>
    <row r="127" spans="1:7" x14ac:dyDescent="0.25">
      <c r="A127" s="10">
        <v>122</v>
      </c>
      <c r="B127" s="5"/>
      <c r="C127" s="5"/>
      <c r="D127" s="5"/>
      <c r="E127" s="5"/>
      <c r="F127" s="75"/>
      <c r="G127" s="76"/>
    </row>
    <row r="128" spans="1:7" x14ac:dyDescent="0.25">
      <c r="A128" s="10">
        <v>123</v>
      </c>
      <c r="B128" s="5"/>
      <c r="C128" s="5"/>
      <c r="D128" s="5"/>
      <c r="E128" s="5"/>
      <c r="F128" s="75"/>
      <c r="G128" s="76"/>
    </row>
    <row r="129" spans="1:7" x14ac:dyDescent="0.25">
      <c r="A129" s="10">
        <v>124</v>
      </c>
      <c r="B129" s="5"/>
      <c r="C129" s="5"/>
      <c r="D129" s="5"/>
      <c r="E129" s="5"/>
      <c r="F129" s="75"/>
      <c r="G129" s="76"/>
    </row>
    <row r="130" spans="1:7" x14ac:dyDescent="0.25">
      <c r="A130" s="10">
        <v>125</v>
      </c>
      <c r="B130" s="5"/>
      <c r="C130" s="5"/>
      <c r="D130" s="5"/>
      <c r="E130" s="5"/>
      <c r="F130" s="75"/>
      <c r="G130" s="76"/>
    </row>
    <row r="131" spans="1:7" x14ac:dyDescent="0.25">
      <c r="A131" s="10">
        <v>126</v>
      </c>
      <c r="B131" s="5"/>
      <c r="C131" s="5"/>
      <c r="D131" s="5"/>
      <c r="E131" s="5"/>
      <c r="F131" s="75"/>
      <c r="G131" s="76"/>
    </row>
    <row r="132" spans="1:7" x14ac:dyDescent="0.25">
      <c r="A132" s="10">
        <v>127</v>
      </c>
      <c r="B132" s="5"/>
      <c r="C132" s="5"/>
      <c r="D132" s="5"/>
      <c r="E132" s="5"/>
      <c r="F132" s="75"/>
      <c r="G132" s="76"/>
    </row>
    <row r="133" spans="1:7" x14ac:dyDescent="0.25">
      <c r="A133" s="10">
        <v>128</v>
      </c>
      <c r="B133" s="5"/>
      <c r="C133" s="5"/>
      <c r="D133" s="5"/>
      <c r="E133" s="5"/>
      <c r="F133" s="75"/>
      <c r="G133" s="76"/>
    </row>
    <row r="134" spans="1:7" x14ac:dyDescent="0.25">
      <c r="A134" s="10">
        <v>129</v>
      </c>
      <c r="B134" s="5"/>
      <c r="C134" s="5"/>
      <c r="D134" s="5"/>
      <c r="E134" s="5"/>
      <c r="F134" s="75"/>
      <c r="G134" s="76"/>
    </row>
    <row r="135" spans="1:7" x14ac:dyDescent="0.25">
      <c r="A135" s="10">
        <v>130</v>
      </c>
      <c r="B135" s="5"/>
      <c r="C135" s="5"/>
      <c r="D135" s="5"/>
      <c r="E135" s="5"/>
      <c r="F135" s="75"/>
      <c r="G135" s="76"/>
    </row>
    <row r="136" spans="1:7" x14ac:dyDescent="0.25">
      <c r="A136" s="10">
        <v>131</v>
      </c>
      <c r="B136" s="5"/>
      <c r="C136" s="5"/>
      <c r="D136" s="5"/>
      <c r="E136" s="5"/>
      <c r="F136" s="75"/>
      <c r="G136" s="76"/>
    </row>
    <row r="137" spans="1:7" x14ac:dyDescent="0.25">
      <c r="A137" s="10">
        <v>132</v>
      </c>
      <c r="B137" s="5"/>
      <c r="C137" s="5"/>
      <c r="D137" s="5"/>
      <c r="E137" s="5"/>
      <c r="F137" s="75"/>
      <c r="G137" s="76"/>
    </row>
    <row r="138" spans="1:7" x14ac:dyDescent="0.25">
      <c r="A138" s="10">
        <v>133</v>
      </c>
      <c r="B138" s="5"/>
      <c r="C138" s="5"/>
      <c r="D138" s="5"/>
      <c r="E138" s="5"/>
      <c r="F138" s="75"/>
      <c r="G138" s="76"/>
    </row>
    <row r="139" spans="1:7" x14ac:dyDescent="0.25">
      <c r="A139" s="10">
        <v>134</v>
      </c>
      <c r="B139" s="5"/>
      <c r="C139" s="5"/>
      <c r="D139" s="5"/>
      <c r="E139" s="5"/>
      <c r="F139" s="75"/>
      <c r="G139" s="76"/>
    </row>
    <row r="140" spans="1:7" x14ac:dyDescent="0.25">
      <c r="A140" s="10">
        <v>135</v>
      </c>
      <c r="B140" s="5"/>
      <c r="C140" s="5"/>
      <c r="D140" s="5"/>
      <c r="E140" s="5"/>
      <c r="F140" s="75"/>
      <c r="G140" s="76"/>
    </row>
    <row r="141" spans="1:7" x14ac:dyDescent="0.25">
      <c r="A141" s="10">
        <v>136</v>
      </c>
      <c r="B141" s="5"/>
      <c r="C141" s="5"/>
      <c r="D141" s="5"/>
      <c r="E141" s="5"/>
      <c r="F141" s="75"/>
      <c r="G141" s="76"/>
    </row>
    <row r="142" spans="1:7" x14ac:dyDescent="0.25">
      <c r="A142" s="10">
        <v>137</v>
      </c>
      <c r="B142" s="5"/>
      <c r="C142" s="5"/>
      <c r="D142" s="5"/>
      <c r="E142" s="5"/>
      <c r="F142" s="75"/>
      <c r="G142" s="76"/>
    </row>
    <row r="143" spans="1:7" x14ac:dyDescent="0.25">
      <c r="A143" s="10">
        <v>138</v>
      </c>
      <c r="B143" s="5"/>
      <c r="C143" s="5"/>
      <c r="D143" s="5"/>
      <c r="E143" s="5"/>
      <c r="F143" s="75"/>
      <c r="G143" s="76"/>
    </row>
    <row r="144" spans="1:7" x14ac:dyDescent="0.25">
      <c r="A144" s="10">
        <v>139</v>
      </c>
      <c r="B144" s="5"/>
      <c r="C144" s="5"/>
      <c r="D144" s="5"/>
      <c r="E144" s="5"/>
      <c r="F144" s="75"/>
      <c r="G144" s="76"/>
    </row>
    <row r="145" spans="1:7" x14ac:dyDescent="0.25">
      <c r="A145" s="10">
        <v>140</v>
      </c>
      <c r="B145" s="5"/>
      <c r="C145" s="5"/>
      <c r="D145" s="5"/>
      <c r="E145" s="5"/>
      <c r="F145" s="75"/>
      <c r="G145" s="76"/>
    </row>
    <row r="146" spans="1:7" x14ac:dyDescent="0.25">
      <c r="A146" s="10">
        <v>141</v>
      </c>
      <c r="B146" s="5"/>
      <c r="C146" s="5"/>
      <c r="D146" s="5"/>
      <c r="E146" s="5"/>
      <c r="F146" s="75"/>
      <c r="G146" s="76"/>
    </row>
    <row r="147" spans="1:7" x14ac:dyDescent="0.25">
      <c r="A147" s="10">
        <v>142</v>
      </c>
      <c r="B147" s="5"/>
      <c r="C147" s="5"/>
      <c r="D147" s="5"/>
      <c r="E147" s="5"/>
      <c r="F147" s="75"/>
      <c r="G147" s="76"/>
    </row>
    <row r="148" spans="1:7" x14ac:dyDescent="0.25">
      <c r="A148" s="10">
        <v>143</v>
      </c>
      <c r="B148" s="5"/>
      <c r="C148" s="5"/>
      <c r="D148" s="5"/>
      <c r="E148" s="5"/>
      <c r="F148" s="75"/>
      <c r="G148" s="76"/>
    </row>
    <row r="149" spans="1:7" x14ac:dyDescent="0.25">
      <c r="A149" s="10">
        <v>144</v>
      </c>
      <c r="B149" s="5"/>
      <c r="C149" s="5"/>
      <c r="D149" s="5"/>
      <c r="E149" s="5"/>
      <c r="F149" s="75"/>
      <c r="G149" s="76"/>
    </row>
    <row r="150" spans="1:7" x14ac:dyDescent="0.25">
      <c r="A150" s="10">
        <v>145</v>
      </c>
      <c r="B150" s="5"/>
      <c r="C150" s="5"/>
      <c r="D150" s="5"/>
      <c r="E150" s="5"/>
      <c r="F150" s="75"/>
      <c r="G150" s="76"/>
    </row>
    <row r="151" spans="1:7" x14ac:dyDescent="0.25">
      <c r="A151" s="10">
        <v>146</v>
      </c>
      <c r="B151" s="5"/>
      <c r="C151" s="5"/>
      <c r="D151" s="5"/>
      <c r="E151" s="5"/>
      <c r="F151" s="75"/>
      <c r="G151" s="76"/>
    </row>
    <row r="152" spans="1:7" x14ac:dyDescent="0.25">
      <c r="A152" s="10">
        <v>147</v>
      </c>
      <c r="B152" s="5"/>
      <c r="C152" s="5"/>
      <c r="D152" s="5"/>
      <c r="E152" s="5"/>
      <c r="F152" s="75"/>
      <c r="G152" s="76"/>
    </row>
    <row r="153" spans="1:7" x14ac:dyDescent="0.25">
      <c r="A153" s="10">
        <v>148</v>
      </c>
      <c r="B153" s="5"/>
      <c r="C153" s="5"/>
      <c r="D153" s="5"/>
      <c r="E153" s="5"/>
      <c r="F153" s="75"/>
      <c r="G153" s="76"/>
    </row>
    <row r="154" spans="1:7" x14ac:dyDescent="0.25">
      <c r="A154" s="10">
        <v>149</v>
      </c>
      <c r="B154" s="5"/>
      <c r="C154" s="5"/>
      <c r="D154" s="5"/>
      <c r="E154" s="5"/>
      <c r="F154" s="75"/>
      <c r="G154" s="76"/>
    </row>
    <row r="155" spans="1:7" x14ac:dyDescent="0.25">
      <c r="A155" s="10">
        <v>150</v>
      </c>
      <c r="B155" s="5"/>
      <c r="C155" s="5"/>
      <c r="D155" s="5"/>
      <c r="E155" s="5"/>
      <c r="F155" s="75"/>
      <c r="G155" s="76"/>
    </row>
    <row r="156" spans="1:7" x14ac:dyDescent="0.25">
      <c r="A156" s="10">
        <v>151</v>
      </c>
      <c r="B156" s="5"/>
      <c r="C156" s="5"/>
      <c r="D156" s="5"/>
      <c r="E156" s="5"/>
      <c r="F156" s="75"/>
      <c r="G156" s="76"/>
    </row>
    <row r="157" spans="1:7" x14ac:dyDescent="0.25">
      <c r="A157" s="10">
        <v>152</v>
      </c>
      <c r="B157" s="5"/>
      <c r="C157" s="5"/>
      <c r="D157" s="5"/>
      <c r="E157" s="5"/>
      <c r="F157" s="75"/>
      <c r="G157" s="76"/>
    </row>
    <row r="158" spans="1:7" x14ac:dyDescent="0.25">
      <c r="A158" s="10">
        <v>153</v>
      </c>
      <c r="B158" s="5"/>
      <c r="C158" s="5"/>
      <c r="D158" s="5"/>
      <c r="E158" s="5"/>
      <c r="F158" s="75"/>
      <c r="G158" s="76"/>
    </row>
    <row r="159" spans="1:7" x14ac:dyDescent="0.25">
      <c r="A159" s="10">
        <v>154</v>
      </c>
      <c r="B159" s="5"/>
      <c r="C159" s="5"/>
      <c r="D159" s="5"/>
      <c r="E159" s="5"/>
      <c r="F159" s="75"/>
      <c r="G159" s="76"/>
    </row>
    <row r="160" spans="1:7" x14ac:dyDescent="0.25">
      <c r="A160" s="10">
        <v>155</v>
      </c>
      <c r="B160" s="5"/>
      <c r="C160" s="5"/>
      <c r="D160" s="5"/>
      <c r="E160" s="5"/>
      <c r="F160" s="75"/>
      <c r="G160" s="76"/>
    </row>
    <row r="161" spans="1:7" x14ac:dyDescent="0.25">
      <c r="A161" s="10">
        <v>156</v>
      </c>
      <c r="B161" s="5"/>
      <c r="C161" s="5"/>
      <c r="D161" s="5"/>
      <c r="E161" s="5"/>
      <c r="F161" s="75"/>
      <c r="G161" s="76"/>
    </row>
    <row r="162" spans="1:7" x14ac:dyDescent="0.25">
      <c r="A162" s="10">
        <v>157</v>
      </c>
      <c r="B162" s="5"/>
      <c r="C162" s="5"/>
      <c r="D162" s="5"/>
      <c r="E162" s="5"/>
      <c r="F162" s="75"/>
      <c r="G162" s="76"/>
    </row>
    <row r="163" spans="1:7" x14ac:dyDescent="0.25">
      <c r="A163" s="10">
        <v>158</v>
      </c>
      <c r="B163" s="5"/>
      <c r="C163" s="5"/>
      <c r="D163" s="5"/>
      <c r="E163" s="5"/>
      <c r="F163" s="75"/>
      <c r="G163" s="76"/>
    </row>
    <row r="164" spans="1:7" x14ac:dyDescent="0.25">
      <c r="A164" s="10">
        <v>159</v>
      </c>
      <c r="B164" s="5"/>
      <c r="C164" s="5"/>
      <c r="D164" s="5"/>
      <c r="E164" s="5"/>
      <c r="F164" s="75"/>
      <c r="G164" s="76"/>
    </row>
    <row r="165" spans="1:7" x14ac:dyDescent="0.25">
      <c r="A165" s="10">
        <v>160</v>
      </c>
      <c r="B165" s="5"/>
      <c r="C165" s="5"/>
      <c r="D165" s="5"/>
      <c r="E165" s="5"/>
      <c r="F165" s="75"/>
      <c r="G165" s="76"/>
    </row>
    <row r="166" spans="1:7" x14ac:dyDescent="0.25">
      <c r="A166" s="10">
        <v>161</v>
      </c>
      <c r="B166" s="5"/>
      <c r="C166" s="5"/>
      <c r="D166" s="5"/>
      <c r="E166" s="5"/>
      <c r="F166" s="75"/>
      <c r="G166" s="76"/>
    </row>
    <row r="167" spans="1:7" x14ac:dyDescent="0.25">
      <c r="A167" s="10">
        <v>162</v>
      </c>
      <c r="B167" s="5"/>
      <c r="C167" s="5"/>
      <c r="D167" s="5"/>
      <c r="E167" s="5"/>
      <c r="F167" s="75"/>
      <c r="G167" s="76"/>
    </row>
    <row r="168" spans="1:7" x14ac:dyDescent="0.25">
      <c r="A168" s="10">
        <v>163</v>
      </c>
      <c r="B168" s="5"/>
      <c r="C168" s="5"/>
      <c r="D168" s="5"/>
      <c r="E168" s="5"/>
      <c r="F168" s="75"/>
      <c r="G168" s="76"/>
    </row>
    <row r="169" spans="1:7" x14ac:dyDescent="0.25">
      <c r="A169" s="10">
        <v>164</v>
      </c>
      <c r="B169" s="5"/>
      <c r="C169" s="5"/>
      <c r="D169" s="5"/>
      <c r="E169" s="5"/>
      <c r="F169" s="75"/>
      <c r="G169" s="76"/>
    </row>
    <row r="170" spans="1:7" x14ac:dyDescent="0.25">
      <c r="A170" s="10">
        <v>165</v>
      </c>
      <c r="B170" s="5"/>
      <c r="C170" s="5"/>
      <c r="D170" s="5"/>
      <c r="E170" s="5"/>
      <c r="F170" s="75"/>
      <c r="G170" s="76"/>
    </row>
    <row r="171" spans="1:7" x14ac:dyDescent="0.25">
      <c r="A171" s="10">
        <v>166</v>
      </c>
      <c r="B171" s="5"/>
      <c r="C171" s="5"/>
      <c r="D171" s="5"/>
      <c r="E171" s="5"/>
      <c r="F171" s="75"/>
      <c r="G171" s="76"/>
    </row>
    <row r="172" spans="1:7" x14ac:dyDescent="0.25">
      <c r="A172" s="10">
        <v>167</v>
      </c>
      <c r="B172" s="5"/>
      <c r="C172" s="5"/>
      <c r="D172" s="5"/>
      <c r="E172" s="5"/>
      <c r="F172" s="75"/>
      <c r="G172" s="76"/>
    </row>
    <row r="173" spans="1:7" x14ac:dyDescent="0.25">
      <c r="A173" s="10">
        <v>168</v>
      </c>
      <c r="B173" s="5"/>
      <c r="C173" s="5"/>
      <c r="D173" s="5"/>
      <c r="E173" s="5"/>
      <c r="F173" s="75"/>
      <c r="G173" s="76"/>
    </row>
    <row r="174" spans="1:7" x14ac:dyDescent="0.25">
      <c r="A174" s="10">
        <v>169</v>
      </c>
      <c r="B174" s="5"/>
      <c r="C174" s="5"/>
      <c r="D174" s="5"/>
      <c r="E174" s="5"/>
      <c r="F174" s="75"/>
      <c r="G174" s="76"/>
    </row>
    <row r="175" spans="1:7" x14ac:dyDescent="0.25">
      <c r="A175" s="10">
        <v>170</v>
      </c>
      <c r="B175" s="5"/>
      <c r="C175" s="5"/>
      <c r="D175" s="5"/>
      <c r="E175" s="5"/>
      <c r="F175" s="75"/>
      <c r="G175" s="76"/>
    </row>
    <row r="176" spans="1:7" x14ac:dyDescent="0.25">
      <c r="A176" s="10">
        <v>171</v>
      </c>
      <c r="B176" s="5"/>
      <c r="C176" s="5"/>
      <c r="D176" s="5"/>
      <c r="E176" s="5"/>
      <c r="F176" s="75"/>
      <c r="G176" s="76"/>
    </row>
    <row r="177" spans="1:7" x14ac:dyDescent="0.25">
      <c r="A177" s="10">
        <v>172</v>
      </c>
      <c r="B177" s="5"/>
      <c r="C177" s="5"/>
      <c r="D177" s="5"/>
      <c r="E177" s="5"/>
      <c r="F177" s="75"/>
      <c r="G177" s="76"/>
    </row>
    <row r="178" spans="1:7" x14ac:dyDescent="0.25">
      <c r="A178" s="10">
        <v>173</v>
      </c>
      <c r="B178" s="5"/>
      <c r="C178" s="5"/>
      <c r="D178" s="5"/>
      <c r="E178" s="5"/>
      <c r="F178" s="75"/>
      <c r="G178" s="76"/>
    </row>
    <row r="179" spans="1:7" x14ac:dyDescent="0.25">
      <c r="A179" s="10">
        <v>174</v>
      </c>
      <c r="B179" s="5"/>
      <c r="C179" s="5"/>
      <c r="D179" s="5"/>
      <c r="E179" s="5"/>
      <c r="F179" s="75"/>
      <c r="G179" s="76"/>
    </row>
    <row r="180" spans="1:7" x14ac:dyDescent="0.25">
      <c r="A180" s="10">
        <v>175</v>
      </c>
      <c r="B180" s="5"/>
      <c r="C180" s="5"/>
      <c r="D180" s="5"/>
      <c r="E180" s="5"/>
      <c r="F180" s="75"/>
      <c r="G180" s="76"/>
    </row>
    <row r="181" spans="1:7" x14ac:dyDescent="0.25">
      <c r="A181" s="10">
        <v>176</v>
      </c>
      <c r="B181" s="5"/>
      <c r="C181" s="5"/>
      <c r="D181" s="5"/>
      <c r="E181" s="5"/>
      <c r="F181" s="75"/>
      <c r="G181" s="76"/>
    </row>
    <row r="182" spans="1:7" x14ac:dyDescent="0.25">
      <c r="A182" s="10">
        <v>177</v>
      </c>
      <c r="B182" s="5"/>
      <c r="C182" s="5"/>
      <c r="D182" s="5"/>
      <c r="E182" s="5"/>
      <c r="F182" s="75"/>
      <c r="G182" s="76"/>
    </row>
    <row r="183" spans="1:7" x14ac:dyDescent="0.25">
      <c r="A183" s="10">
        <v>178</v>
      </c>
      <c r="B183" s="5"/>
      <c r="C183" s="5"/>
      <c r="D183" s="5"/>
      <c r="E183" s="5"/>
      <c r="F183" s="75"/>
      <c r="G183" s="76"/>
    </row>
    <row r="184" spans="1:7" x14ac:dyDescent="0.25">
      <c r="A184" s="10">
        <v>179</v>
      </c>
      <c r="B184" s="5"/>
      <c r="C184" s="5"/>
      <c r="D184" s="5"/>
      <c r="E184" s="5"/>
      <c r="F184" s="75"/>
      <c r="G184" s="76"/>
    </row>
    <row r="185" spans="1:7" x14ac:dyDescent="0.25">
      <c r="A185" s="10">
        <v>180</v>
      </c>
      <c r="B185" s="5"/>
      <c r="C185" s="5"/>
      <c r="D185" s="5"/>
      <c r="E185" s="5"/>
      <c r="F185" s="75"/>
      <c r="G185" s="76"/>
    </row>
    <row r="186" spans="1:7" x14ac:dyDescent="0.25">
      <c r="A186" s="10">
        <v>181</v>
      </c>
      <c r="B186" s="5"/>
      <c r="C186" s="5"/>
      <c r="D186" s="5"/>
      <c r="E186" s="5"/>
      <c r="F186" s="75"/>
      <c r="G186" s="76"/>
    </row>
    <row r="187" spans="1:7" x14ac:dyDescent="0.25">
      <c r="A187" s="10">
        <v>182</v>
      </c>
      <c r="B187" s="5"/>
      <c r="C187" s="5"/>
      <c r="D187" s="5"/>
      <c r="E187" s="5"/>
      <c r="F187" s="75"/>
      <c r="G187" s="76"/>
    </row>
    <row r="188" spans="1:7" x14ac:dyDescent="0.25">
      <c r="A188" s="10">
        <v>183</v>
      </c>
      <c r="B188" s="5"/>
      <c r="C188" s="5"/>
      <c r="D188" s="5"/>
      <c r="E188" s="5"/>
      <c r="F188" s="75"/>
      <c r="G188" s="76"/>
    </row>
    <row r="189" spans="1:7" x14ac:dyDescent="0.25">
      <c r="A189" s="10">
        <v>184</v>
      </c>
      <c r="B189" s="5"/>
      <c r="C189" s="5"/>
      <c r="D189" s="5"/>
      <c r="E189" s="5"/>
      <c r="F189" s="75"/>
      <c r="G189" s="76"/>
    </row>
    <row r="190" spans="1:7" x14ac:dyDescent="0.25">
      <c r="A190" s="10">
        <v>185</v>
      </c>
      <c r="B190" s="5"/>
      <c r="C190" s="5"/>
      <c r="D190" s="5"/>
      <c r="E190" s="5"/>
      <c r="F190" s="75"/>
      <c r="G190" s="76"/>
    </row>
    <row r="191" spans="1:7" x14ac:dyDescent="0.25">
      <c r="A191" s="10">
        <v>186</v>
      </c>
      <c r="B191" s="5"/>
      <c r="C191" s="5"/>
      <c r="D191" s="5"/>
      <c r="E191" s="5"/>
      <c r="F191" s="75"/>
      <c r="G191" s="76"/>
    </row>
    <row r="192" spans="1:7" x14ac:dyDescent="0.25">
      <c r="A192" s="10">
        <v>187</v>
      </c>
      <c r="B192" s="5"/>
      <c r="C192" s="5"/>
      <c r="D192" s="5"/>
      <c r="E192" s="5"/>
      <c r="F192" s="75"/>
      <c r="G192" s="76"/>
    </row>
    <row r="193" spans="1:7" x14ac:dyDescent="0.25">
      <c r="A193" s="10">
        <v>188</v>
      </c>
      <c r="B193" s="5"/>
      <c r="C193" s="5"/>
      <c r="D193" s="5"/>
      <c r="E193" s="5"/>
      <c r="F193" s="75"/>
      <c r="G193" s="76"/>
    </row>
    <row r="194" spans="1:7" x14ac:dyDescent="0.25">
      <c r="A194" s="10">
        <v>189</v>
      </c>
      <c r="B194" s="5"/>
      <c r="C194" s="5"/>
      <c r="D194" s="5"/>
      <c r="E194" s="5"/>
      <c r="F194" s="75"/>
      <c r="G194" s="76"/>
    </row>
    <row r="195" spans="1:7" x14ac:dyDescent="0.25">
      <c r="A195" s="10">
        <v>190</v>
      </c>
      <c r="B195" s="5"/>
      <c r="C195" s="5"/>
      <c r="D195" s="5"/>
      <c r="E195" s="5"/>
      <c r="F195" s="75"/>
      <c r="G195" s="76"/>
    </row>
    <row r="196" spans="1:7" x14ac:dyDescent="0.25">
      <c r="A196" s="10">
        <v>191</v>
      </c>
      <c r="B196" s="5"/>
      <c r="C196" s="5"/>
      <c r="D196" s="5"/>
      <c r="E196" s="5"/>
      <c r="F196" s="75"/>
      <c r="G196" s="76"/>
    </row>
    <row r="197" spans="1:7" x14ac:dyDescent="0.25">
      <c r="A197" s="10">
        <v>192</v>
      </c>
      <c r="B197" s="5"/>
      <c r="C197" s="5"/>
      <c r="D197" s="5"/>
      <c r="E197" s="5"/>
      <c r="F197" s="75"/>
      <c r="G197" s="76"/>
    </row>
    <row r="198" spans="1:7" x14ac:dyDescent="0.25">
      <c r="A198" s="10">
        <v>193</v>
      </c>
      <c r="B198" s="5"/>
      <c r="C198" s="5"/>
      <c r="D198" s="5"/>
      <c r="E198" s="5"/>
      <c r="F198" s="75"/>
      <c r="G198" s="76"/>
    </row>
    <row r="199" spans="1:7" x14ac:dyDescent="0.25">
      <c r="A199" s="10">
        <v>194</v>
      </c>
      <c r="B199" s="5"/>
      <c r="C199" s="5"/>
      <c r="D199" s="5"/>
      <c r="E199" s="5"/>
      <c r="F199" s="75"/>
      <c r="G199" s="76"/>
    </row>
    <row r="200" spans="1:7" x14ac:dyDescent="0.25">
      <c r="A200" s="10">
        <v>195</v>
      </c>
      <c r="B200" s="5"/>
      <c r="C200" s="5"/>
      <c r="D200" s="5"/>
      <c r="E200" s="5"/>
      <c r="F200" s="75"/>
      <c r="G200" s="76"/>
    </row>
    <row r="201" spans="1:7" x14ac:dyDescent="0.25">
      <c r="A201" s="10">
        <v>196</v>
      </c>
      <c r="B201" s="5"/>
      <c r="C201" s="5"/>
      <c r="D201" s="5"/>
      <c r="E201" s="5"/>
      <c r="F201" s="75"/>
      <c r="G201" s="76"/>
    </row>
    <row r="202" spans="1:7" x14ac:dyDescent="0.25">
      <c r="A202" s="10">
        <v>197</v>
      </c>
      <c r="B202" s="5"/>
      <c r="C202" s="5"/>
      <c r="D202" s="5"/>
      <c r="E202" s="5"/>
      <c r="F202" s="75"/>
      <c r="G202" s="76"/>
    </row>
    <row r="203" spans="1:7" x14ac:dyDescent="0.25">
      <c r="A203" s="10">
        <v>198</v>
      </c>
      <c r="B203" s="5"/>
      <c r="C203" s="5"/>
      <c r="D203" s="5"/>
      <c r="E203" s="5"/>
      <c r="F203" s="75"/>
      <c r="G203" s="76"/>
    </row>
    <row r="204" spans="1:7" x14ac:dyDescent="0.25">
      <c r="A204" s="10">
        <v>199</v>
      </c>
      <c r="B204" s="5"/>
      <c r="C204" s="5"/>
      <c r="D204" s="5"/>
      <c r="E204" s="5"/>
      <c r="F204" s="75"/>
      <c r="G204" s="76"/>
    </row>
    <row r="205" spans="1:7" x14ac:dyDescent="0.25">
      <c r="A205" s="10">
        <v>200</v>
      </c>
      <c r="B205" s="5"/>
      <c r="C205" s="5"/>
      <c r="D205" s="5"/>
      <c r="E205" s="5"/>
      <c r="F205" s="75"/>
      <c r="G205" s="76"/>
    </row>
    <row r="206" spans="1:7" x14ac:dyDescent="0.25">
      <c r="A206" s="10">
        <v>201</v>
      </c>
      <c r="B206" s="5"/>
      <c r="C206" s="5"/>
      <c r="D206" s="5"/>
      <c r="E206" s="5"/>
      <c r="F206" s="75"/>
      <c r="G206" s="76"/>
    </row>
    <row r="207" spans="1:7" x14ac:dyDescent="0.25">
      <c r="A207" s="10">
        <v>202</v>
      </c>
      <c r="B207" s="5"/>
      <c r="C207" s="5"/>
      <c r="D207" s="5"/>
      <c r="E207" s="5"/>
      <c r="F207" s="75"/>
      <c r="G207" s="76"/>
    </row>
    <row r="208" spans="1:7" x14ac:dyDescent="0.25">
      <c r="A208" s="10">
        <v>203</v>
      </c>
      <c r="B208" s="5"/>
      <c r="C208" s="5"/>
      <c r="D208" s="5"/>
      <c r="E208" s="5"/>
      <c r="F208" s="75"/>
      <c r="G208" s="76"/>
    </row>
    <row r="209" spans="1:7" x14ac:dyDescent="0.25">
      <c r="A209" s="10">
        <v>204</v>
      </c>
      <c r="B209" s="5"/>
      <c r="C209" s="5"/>
      <c r="D209" s="5"/>
      <c r="E209" s="5"/>
      <c r="F209" s="75"/>
      <c r="G209" s="76"/>
    </row>
    <row r="210" spans="1:7" x14ac:dyDescent="0.25">
      <c r="A210" s="10">
        <v>205</v>
      </c>
      <c r="B210" s="5"/>
      <c r="C210" s="5"/>
      <c r="D210" s="5"/>
      <c r="E210" s="5"/>
      <c r="F210" s="75"/>
      <c r="G210" s="76"/>
    </row>
    <row r="211" spans="1:7" x14ac:dyDescent="0.25">
      <c r="A211" s="10">
        <v>206</v>
      </c>
      <c r="B211" s="5"/>
      <c r="C211" s="5"/>
      <c r="D211" s="5"/>
      <c r="E211" s="5"/>
      <c r="F211" s="75"/>
      <c r="G211" s="76"/>
    </row>
    <row r="212" spans="1:7" x14ac:dyDescent="0.25">
      <c r="A212" s="10">
        <v>207</v>
      </c>
      <c r="B212" s="5"/>
      <c r="C212" s="5"/>
      <c r="D212" s="5"/>
      <c r="E212" s="5"/>
      <c r="F212" s="75"/>
      <c r="G212" s="76"/>
    </row>
    <row r="213" spans="1:7" x14ac:dyDescent="0.25">
      <c r="A213" s="10">
        <v>208</v>
      </c>
      <c r="B213" s="5"/>
      <c r="C213" s="5"/>
      <c r="D213" s="5"/>
      <c r="E213" s="5"/>
      <c r="F213" s="75"/>
      <c r="G213" s="76"/>
    </row>
    <row r="214" spans="1:7" x14ac:dyDescent="0.25">
      <c r="A214" s="10">
        <v>209</v>
      </c>
      <c r="B214" s="5"/>
      <c r="C214" s="5"/>
      <c r="D214" s="5"/>
      <c r="E214" s="5"/>
      <c r="F214" s="75"/>
      <c r="G214" s="76"/>
    </row>
    <row r="215" spans="1:7" x14ac:dyDescent="0.25">
      <c r="A215" s="10">
        <v>210</v>
      </c>
      <c r="B215" s="5"/>
      <c r="C215" s="5"/>
      <c r="D215" s="5"/>
      <c r="E215" s="5"/>
      <c r="F215" s="75"/>
      <c r="G215" s="76"/>
    </row>
    <row r="216" spans="1:7" x14ac:dyDescent="0.25">
      <c r="A216" s="10">
        <v>211</v>
      </c>
      <c r="B216" s="5"/>
      <c r="C216" s="5"/>
      <c r="D216" s="5"/>
      <c r="E216" s="5"/>
      <c r="F216" s="75"/>
      <c r="G216" s="76"/>
    </row>
    <row r="217" spans="1:7" x14ac:dyDescent="0.25">
      <c r="A217" s="10">
        <v>212</v>
      </c>
      <c r="B217" s="5"/>
      <c r="C217" s="5"/>
      <c r="D217" s="5"/>
      <c r="E217" s="5"/>
      <c r="F217" s="75"/>
      <c r="G217" s="76"/>
    </row>
    <row r="218" spans="1:7" x14ac:dyDescent="0.25">
      <c r="A218" s="10">
        <v>213</v>
      </c>
      <c r="B218" s="5"/>
      <c r="C218" s="5"/>
      <c r="D218" s="5"/>
      <c r="E218" s="5"/>
      <c r="F218" s="75"/>
      <c r="G218" s="76"/>
    </row>
    <row r="219" spans="1:7" x14ac:dyDescent="0.25">
      <c r="A219" s="10">
        <v>214</v>
      </c>
      <c r="B219" s="5"/>
      <c r="C219" s="5"/>
      <c r="D219" s="5"/>
      <c r="E219" s="5"/>
      <c r="F219" s="75"/>
      <c r="G219" s="76"/>
    </row>
    <row r="220" spans="1:7" x14ac:dyDescent="0.25">
      <c r="A220" s="10">
        <v>215</v>
      </c>
      <c r="B220" s="5"/>
      <c r="C220" s="5"/>
      <c r="D220" s="5"/>
      <c r="E220" s="5"/>
      <c r="F220" s="75"/>
      <c r="G220" s="76"/>
    </row>
    <row r="221" spans="1:7" x14ac:dyDescent="0.25">
      <c r="A221" s="10">
        <v>216</v>
      </c>
      <c r="B221" s="5"/>
      <c r="C221" s="5"/>
      <c r="D221" s="5"/>
      <c r="E221" s="5"/>
      <c r="F221" s="75"/>
      <c r="G221" s="76"/>
    </row>
    <row r="222" spans="1:7" x14ac:dyDescent="0.25">
      <c r="A222" s="10">
        <v>217</v>
      </c>
      <c r="B222" s="5"/>
      <c r="C222" s="5"/>
      <c r="D222" s="5"/>
      <c r="E222" s="5"/>
      <c r="F222" s="75"/>
      <c r="G222" s="76"/>
    </row>
    <row r="223" spans="1:7" x14ac:dyDescent="0.25">
      <c r="A223" s="10">
        <v>218</v>
      </c>
      <c r="B223" s="5"/>
      <c r="C223" s="5"/>
      <c r="D223" s="5"/>
      <c r="E223" s="5"/>
      <c r="F223" s="75"/>
      <c r="G223" s="76"/>
    </row>
    <row r="224" spans="1:7" x14ac:dyDescent="0.25">
      <c r="A224" s="10">
        <v>219</v>
      </c>
      <c r="B224" s="5"/>
      <c r="C224" s="5"/>
      <c r="D224" s="5"/>
      <c r="E224" s="5"/>
      <c r="F224" s="75"/>
      <c r="G224" s="76"/>
    </row>
    <row r="225" spans="1:7" x14ac:dyDescent="0.25">
      <c r="A225" s="10">
        <v>220</v>
      </c>
      <c r="B225" s="5"/>
      <c r="C225" s="5"/>
      <c r="D225" s="5"/>
      <c r="E225" s="5"/>
      <c r="F225" s="75"/>
      <c r="G225" s="76"/>
    </row>
    <row r="226" spans="1:7" x14ac:dyDescent="0.25">
      <c r="A226" s="10">
        <v>221</v>
      </c>
      <c r="B226" s="5"/>
      <c r="C226" s="5"/>
      <c r="D226" s="5"/>
      <c r="E226" s="5"/>
      <c r="F226" s="75"/>
      <c r="G226" s="76"/>
    </row>
    <row r="227" spans="1:7" x14ac:dyDescent="0.25">
      <c r="A227" s="10">
        <v>222</v>
      </c>
      <c r="B227" s="5"/>
      <c r="C227" s="5"/>
      <c r="D227" s="5"/>
      <c r="E227" s="5"/>
      <c r="F227" s="75"/>
      <c r="G227" s="76"/>
    </row>
    <row r="228" spans="1:7" x14ac:dyDescent="0.25">
      <c r="A228" s="10">
        <v>223</v>
      </c>
      <c r="B228" s="5"/>
      <c r="C228" s="5"/>
      <c r="D228" s="5"/>
      <c r="E228" s="5"/>
      <c r="F228" s="75"/>
      <c r="G228" s="76"/>
    </row>
    <row r="229" spans="1:7" x14ac:dyDescent="0.25">
      <c r="A229" s="10">
        <v>224</v>
      </c>
      <c r="B229" s="5"/>
      <c r="C229" s="5"/>
      <c r="D229" s="5"/>
      <c r="E229" s="5"/>
      <c r="F229" s="75"/>
      <c r="G229" s="76"/>
    </row>
    <row r="230" spans="1:7" x14ac:dyDescent="0.25">
      <c r="A230" s="10">
        <v>225</v>
      </c>
      <c r="B230" s="5"/>
      <c r="C230" s="5"/>
      <c r="D230" s="5"/>
      <c r="E230" s="5"/>
      <c r="F230" s="75"/>
      <c r="G230" s="76"/>
    </row>
    <row r="231" spans="1:7" x14ac:dyDescent="0.25">
      <c r="A231" s="10">
        <v>226</v>
      </c>
      <c r="B231" s="5"/>
      <c r="C231" s="5"/>
      <c r="D231" s="5"/>
      <c r="E231" s="5"/>
      <c r="F231" s="75"/>
      <c r="G231" s="76"/>
    </row>
    <row r="232" spans="1:7" x14ac:dyDescent="0.25">
      <c r="A232" s="10">
        <v>227</v>
      </c>
      <c r="B232" s="5"/>
      <c r="C232" s="5"/>
      <c r="D232" s="5"/>
      <c r="E232" s="5"/>
      <c r="F232" s="75"/>
      <c r="G232" s="76"/>
    </row>
    <row r="233" spans="1:7" x14ac:dyDescent="0.25">
      <c r="A233" s="10">
        <v>228</v>
      </c>
      <c r="B233" s="5"/>
      <c r="C233" s="5"/>
      <c r="D233" s="5"/>
      <c r="E233" s="5"/>
      <c r="F233" s="75"/>
      <c r="G233" s="76"/>
    </row>
    <row r="234" spans="1:7" x14ac:dyDescent="0.25">
      <c r="A234" s="10">
        <v>229</v>
      </c>
      <c r="B234" s="5"/>
      <c r="C234" s="5"/>
      <c r="D234" s="5"/>
      <c r="E234" s="5"/>
      <c r="F234" s="75"/>
      <c r="G234" s="76"/>
    </row>
    <row r="235" spans="1:7" x14ac:dyDescent="0.25">
      <c r="A235" s="10">
        <v>230</v>
      </c>
      <c r="B235" s="5"/>
      <c r="C235" s="5"/>
      <c r="D235" s="5"/>
      <c r="E235" s="5"/>
      <c r="F235" s="75"/>
      <c r="G235" s="76"/>
    </row>
    <row r="236" spans="1:7" x14ac:dyDescent="0.25">
      <c r="A236" s="10">
        <v>231</v>
      </c>
      <c r="B236" s="5"/>
      <c r="C236" s="5"/>
      <c r="D236" s="5"/>
      <c r="E236" s="5"/>
      <c r="F236" s="75"/>
      <c r="G236" s="76"/>
    </row>
    <row r="237" spans="1:7" x14ac:dyDescent="0.25">
      <c r="A237" s="10">
        <v>232</v>
      </c>
      <c r="B237" s="5"/>
      <c r="C237" s="5"/>
      <c r="D237" s="5"/>
      <c r="E237" s="5"/>
      <c r="F237" s="75"/>
      <c r="G237" s="76"/>
    </row>
    <row r="238" spans="1:7" x14ac:dyDescent="0.25">
      <c r="A238" s="10">
        <v>233</v>
      </c>
      <c r="B238" s="5"/>
      <c r="C238" s="5"/>
      <c r="D238" s="5"/>
      <c r="E238" s="5"/>
      <c r="F238" s="75"/>
      <c r="G238" s="76"/>
    </row>
    <row r="239" spans="1:7" x14ac:dyDescent="0.25">
      <c r="A239" s="10">
        <v>234</v>
      </c>
      <c r="B239" s="5"/>
      <c r="C239" s="5"/>
      <c r="D239" s="5"/>
      <c r="E239" s="5"/>
      <c r="F239" s="75"/>
      <c r="G239" s="76"/>
    </row>
    <row r="240" spans="1:7" x14ac:dyDescent="0.25">
      <c r="A240" s="10">
        <v>235</v>
      </c>
      <c r="B240" s="5"/>
      <c r="C240" s="5"/>
      <c r="D240" s="5"/>
      <c r="E240" s="5"/>
      <c r="F240" s="75"/>
      <c r="G240" s="76"/>
    </row>
    <row r="241" spans="1:7" x14ac:dyDescent="0.25">
      <c r="A241" s="10">
        <v>236</v>
      </c>
      <c r="B241" s="5"/>
      <c r="C241" s="5"/>
      <c r="D241" s="5"/>
      <c r="E241" s="5"/>
      <c r="F241" s="75"/>
      <c r="G241" s="76"/>
    </row>
    <row r="242" spans="1:7" x14ac:dyDescent="0.25">
      <c r="A242" s="10">
        <v>237</v>
      </c>
      <c r="B242" s="5"/>
      <c r="C242" s="5"/>
      <c r="D242" s="5"/>
      <c r="E242" s="5"/>
      <c r="F242" s="75"/>
      <c r="G242" s="76"/>
    </row>
    <row r="243" spans="1:7" x14ac:dyDescent="0.25">
      <c r="A243" s="10">
        <v>238</v>
      </c>
      <c r="B243" s="5"/>
      <c r="C243" s="5"/>
      <c r="D243" s="5"/>
      <c r="E243" s="5"/>
      <c r="F243" s="75"/>
      <c r="G243" s="76"/>
    </row>
    <row r="244" spans="1:7" x14ac:dyDescent="0.25">
      <c r="A244" s="10">
        <v>239</v>
      </c>
      <c r="B244" s="5"/>
      <c r="C244" s="5"/>
      <c r="D244" s="5"/>
      <c r="E244" s="5"/>
      <c r="F244" s="75"/>
      <c r="G244" s="76"/>
    </row>
    <row r="245" spans="1:7" x14ac:dyDescent="0.25">
      <c r="A245" s="10">
        <v>240</v>
      </c>
      <c r="B245" s="5"/>
      <c r="C245" s="5"/>
      <c r="D245" s="5"/>
      <c r="E245" s="5"/>
      <c r="F245" s="75"/>
      <c r="G245" s="76"/>
    </row>
    <row r="246" spans="1:7" x14ac:dyDescent="0.25">
      <c r="A246" s="10">
        <v>241</v>
      </c>
      <c r="B246" s="5"/>
      <c r="C246" s="5"/>
      <c r="D246" s="5"/>
      <c r="E246" s="5"/>
      <c r="F246" s="75"/>
      <c r="G246" s="76"/>
    </row>
    <row r="247" spans="1:7" x14ac:dyDescent="0.25">
      <c r="A247" s="10">
        <v>242</v>
      </c>
      <c r="B247" s="5"/>
      <c r="C247" s="5"/>
      <c r="D247" s="5"/>
      <c r="E247" s="5"/>
      <c r="F247" s="75"/>
      <c r="G247" s="76"/>
    </row>
    <row r="248" spans="1:7" x14ac:dyDescent="0.25">
      <c r="A248" s="10">
        <v>243</v>
      </c>
      <c r="B248" s="5"/>
      <c r="C248" s="5"/>
      <c r="D248" s="5"/>
      <c r="E248" s="5"/>
      <c r="F248" s="75"/>
      <c r="G248" s="76"/>
    </row>
    <row r="249" spans="1:7" x14ac:dyDescent="0.25">
      <c r="A249" s="10">
        <v>244</v>
      </c>
      <c r="B249" s="5"/>
      <c r="C249" s="5"/>
      <c r="D249" s="5"/>
      <c r="E249" s="5"/>
      <c r="F249" s="75"/>
      <c r="G249" s="76"/>
    </row>
    <row r="250" spans="1:7" x14ac:dyDescent="0.25">
      <c r="A250" s="10">
        <v>245</v>
      </c>
      <c r="B250" s="5"/>
      <c r="C250" s="5"/>
      <c r="D250" s="5"/>
      <c r="E250" s="5"/>
      <c r="F250" s="75"/>
      <c r="G250" s="76"/>
    </row>
    <row r="251" spans="1:7" x14ac:dyDescent="0.25">
      <c r="A251" s="10">
        <v>246</v>
      </c>
      <c r="B251" s="5"/>
      <c r="C251" s="5"/>
      <c r="D251" s="5"/>
      <c r="E251" s="5"/>
      <c r="F251" s="75"/>
      <c r="G251" s="76"/>
    </row>
    <row r="252" spans="1:7" x14ac:dyDescent="0.25">
      <c r="A252" s="10">
        <v>247</v>
      </c>
      <c r="B252" s="5"/>
      <c r="C252" s="5"/>
      <c r="D252" s="5"/>
      <c r="E252" s="5"/>
      <c r="F252" s="75"/>
      <c r="G252" s="76"/>
    </row>
  </sheetData>
  <mergeCells count="256">
    <mergeCell ref="F251:G251"/>
    <mergeCell ref="F252:G252"/>
    <mergeCell ref="F245:G245"/>
    <mergeCell ref="F246:G246"/>
    <mergeCell ref="F247:G247"/>
    <mergeCell ref="F248:G248"/>
    <mergeCell ref="F249:G249"/>
    <mergeCell ref="F250:G250"/>
    <mergeCell ref="F239:G239"/>
    <mergeCell ref="F240:G240"/>
    <mergeCell ref="F241:G241"/>
    <mergeCell ref="F242:G242"/>
    <mergeCell ref="F243:G243"/>
    <mergeCell ref="F244:G244"/>
    <mergeCell ref="F233:G233"/>
    <mergeCell ref="F234:G234"/>
    <mergeCell ref="F235:G235"/>
    <mergeCell ref="F236:G236"/>
    <mergeCell ref="F237:G237"/>
    <mergeCell ref="F238:G238"/>
    <mergeCell ref="F227:G227"/>
    <mergeCell ref="F228:G228"/>
    <mergeCell ref="F229:G229"/>
    <mergeCell ref="F230:G230"/>
    <mergeCell ref="F231:G231"/>
    <mergeCell ref="F232:G232"/>
    <mergeCell ref="F221:G221"/>
    <mergeCell ref="F222:G222"/>
    <mergeCell ref="F223:G223"/>
    <mergeCell ref="F224:G224"/>
    <mergeCell ref="F225:G225"/>
    <mergeCell ref="F226:G226"/>
    <mergeCell ref="F215:G215"/>
    <mergeCell ref="F216:G216"/>
    <mergeCell ref="F217:G217"/>
    <mergeCell ref="F218:G218"/>
    <mergeCell ref="F219:G219"/>
    <mergeCell ref="F220:G220"/>
    <mergeCell ref="F209:G209"/>
    <mergeCell ref="F210:G210"/>
    <mergeCell ref="F211:G211"/>
    <mergeCell ref="F212:G212"/>
    <mergeCell ref="F213:G213"/>
    <mergeCell ref="F214:G214"/>
    <mergeCell ref="F203:G203"/>
    <mergeCell ref="F204:G204"/>
    <mergeCell ref="F205:G205"/>
    <mergeCell ref="F206:G206"/>
    <mergeCell ref="F207:G207"/>
    <mergeCell ref="F208:G208"/>
    <mergeCell ref="F197:G197"/>
    <mergeCell ref="F198:G198"/>
    <mergeCell ref="F199:G199"/>
    <mergeCell ref="F200:G200"/>
    <mergeCell ref="F201:G201"/>
    <mergeCell ref="F202:G202"/>
    <mergeCell ref="F191:G191"/>
    <mergeCell ref="F192:G192"/>
    <mergeCell ref="F193:G193"/>
    <mergeCell ref="F194:G194"/>
    <mergeCell ref="F195:G195"/>
    <mergeCell ref="F196:G196"/>
    <mergeCell ref="F185:G185"/>
    <mergeCell ref="F186:G186"/>
    <mergeCell ref="F187:G187"/>
    <mergeCell ref="F188:G188"/>
    <mergeCell ref="F189:G189"/>
    <mergeCell ref="F190:G190"/>
    <mergeCell ref="F179:G179"/>
    <mergeCell ref="F180:G180"/>
    <mergeCell ref="F181:G181"/>
    <mergeCell ref="F182:G182"/>
    <mergeCell ref="F183:G183"/>
    <mergeCell ref="F184:G184"/>
    <mergeCell ref="F173:G173"/>
    <mergeCell ref="F174:G174"/>
    <mergeCell ref="F175:G175"/>
    <mergeCell ref="F176:G176"/>
    <mergeCell ref="F177:G177"/>
    <mergeCell ref="F178:G178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F155:G155"/>
    <mergeCell ref="F156:G156"/>
    <mergeCell ref="F157:G157"/>
    <mergeCell ref="F158:G158"/>
    <mergeCell ref="F159:G159"/>
    <mergeCell ref="F160:G160"/>
    <mergeCell ref="F149:G149"/>
    <mergeCell ref="F150:G150"/>
    <mergeCell ref="F151:G151"/>
    <mergeCell ref="F152:G152"/>
    <mergeCell ref="F153:G153"/>
    <mergeCell ref="F154:G154"/>
    <mergeCell ref="F143:G143"/>
    <mergeCell ref="F144:G144"/>
    <mergeCell ref="F145:G145"/>
    <mergeCell ref="F146:G146"/>
    <mergeCell ref="F147:G147"/>
    <mergeCell ref="F148:G148"/>
    <mergeCell ref="F137:G137"/>
    <mergeCell ref="F138:G138"/>
    <mergeCell ref="F139:G139"/>
    <mergeCell ref="F140:G140"/>
    <mergeCell ref="F141:G141"/>
    <mergeCell ref="F142:G142"/>
    <mergeCell ref="F131:G131"/>
    <mergeCell ref="F132:G132"/>
    <mergeCell ref="F133:G133"/>
    <mergeCell ref="F134:G134"/>
    <mergeCell ref="F135:G135"/>
    <mergeCell ref="F136:G136"/>
    <mergeCell ref="F125:G125"/>
    <mergeCell ref="F126:G126"/>
    <mergeCell ref="F127:G127"/>
    <mergeCell ref="F128:G128"/>
    <mergeCell ref="F129:G129"/>
    <mergeCell ref="F130:G130"/>
    <mergeCell ref="F119:G119"/>
    <mergeCell ref="F120:G120"/>
    <mergeCell ref="F121:G121"/>
    <mergeCell ref="F122:G122"/>
    <mergeCell ref="F123:G123"/>
    <mergeCell ref="F124:G124"/>
    <mergeCell ref="F113:G113"/>
    <mergeCell ref="F114:G114"/>
    <mergeCell ref="F115:G115"/>
    <mergeCell ref="F116:G116"/>
    <mergeCell ref="F117:G117"/>
    <mergeCell ref="F118:G118"/>
    <mergeCell ref="F107:G107"/>
    <mergeCell ref="F108:G108"/>
    <mergeCell ref="F109:G109"/>
    <mergeCell ref="F110:G110"/>
    <mergeCell ref="F111:G111"/>
    <mergeCell ref="F112:G112"/>
    <mergeCell ref="F101:G101"/>
    <mergeCell ref="F102:G102"/>
    <mergeCell ref="F103:G103"/>
    <mergeCell ref="F104:G104"/>
    <mergeCell ref="F105:G105"/>
    <mergeCell ref="F106:G106"/>
    <mergeCell ref="F95:G95"/>
    <mergeCell ref="F96:G96"/>
    <mergeCell ref="F97:G97"/>
    <mergeCell ref="F98:G98"/>
    <mergeCell ref="F99:G99"/>
    <mergeCell ref="F100:G100"/>
    <mergeCell ref="F89:G89"/>
    <mergeCell ref="F90:G90"/>
    <mergeCell ref="F91:G91"/>
    <mergeCell ref="F92:G92"/>
    <mergeCell ref="F93:G93"/>
    <mergeCell ref="F94:G94"/>
    <mergeCell ref="F83:G83"/>
    <mergeCell ref="F84:G84"/>
    <mergeCell ref="F85:G85"/>
    <mergeCell ref="F86:G86"/>
    <mergeCell ref="F87:G87"/>
    <mergeCell ref="F88:G88"/>
    <mergeCell ref="F77:G77"/>
    <mergeCell ref="F78:G78"/>
    <mergeCell ref="F79:G79"/>
    <mergeCell ref="F80:G80"/>
    <mergeCell ref="F81:G81"/>
    <mergeCell ref="F82:G82"/>
    <mergeCell ref="F71:G71"/>
    <mergeCell ref="F72:G72"/>
    <mergeCell ref="F73:G73"/>
    <mergeCell ref="F74:G74"/>
    <mergeCell ref="F75:G75"/>
    <mergeCell ref="F76:G76"/>
    <mergeCell ref="F65:G65"/>
    <mergeCell ref="F66:G66"/>
    <mergeCell ref="F67:G67"/>
    <mergeCell ref="F68:G68"/>
    <mergeCell ref="F69:G69"/>
    <mergeCell ref="F70:G70"/>
    <mergeCell ref="F59:G59"/>
    <mergeCell ref="F60:G60"/>
    <mergeCell ref="F61:G61"/>
    <mergeCell ref="F62:G62"/>
    <mergeCell ref="F63:G63"/>
    <mergeCell ref="F64:G64"/>
    <mergeCell ref="F53:G53"/>
    <mergeCell ref="F54:G54"/>
    <mergeCell ref="F55:G55"/>
    <mergeCell ref="F56:G56"/>
    <mergeCell ref="F57:G57"/>
    <mergeCell ref="F58:G58"/>
    <mergeCell ref="F47:G47"/>
    <mergeCell ref="F48:G48"/>
    <mergeCell ref="F49:G49"/>
    <mergeCell ref="F50:G50"/>
    <mergeCell ref="F51:G51"/>
    <mergeCell ref="F52:G52"/>
    <mergeCell ref="F41:G41"/>
    <mergeCell ref="F42:G42"/>
    <mergeCell ref="F43:G43"/>
    <mergeCell ref="F44:G44"/>
    <mergeCell ref="F45:G45"/>
    <mergeCell ref="F46:G46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F33:G33"/>
    <mergeCell ref="F34:G34"/>
    <mergeCell ref="F23:G23"/>
    <mergeCell ref="F24:G24"/>
    <mergeCell ref="F25:G25"/>
    <mergeCell ref="F26:G26"/>
    <mergeCell ref="F27:G27"/>
    <mergeCell ref="F28:G28"/>
    <mergeCell ref="F17:G17"/>
    <mergeCell ref="F18:G18"/>
    <mergeCell ref="F19:G19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F5:G5"/>
    <mergeCell ref="F6:G6"/>
    <mergeCell ref="F7:G7"/>
    <mergeCell ref="F8:G8"/>
    <mergeCell ref="F9:G9"/>
    <mergeCell ref="F10:G10"/>
    <mergeCell ref="A1:E1"/>
    <mergeCell ref="F1:G1"/>
    <mergeCell ref="A3:A4"/>
    <mergeCell ref="B3:B4"/>
    <mergeCell ref="C3:C4"/>
    <mergeCell ref="D3:D4"/>
    <mergeCell ref="E3:E4"/>
    <mergeCell ref="F3:F4"/>
  </mergeCells>
  <phoneticPr fontId="1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5F38-A436-42EE-90AE-4A565D6B2721}">
  <dimension ref="A1:B13"/>
  <sheetViews>
    <sheetView workbookViewId="0"/>
  </sheetViews>
  <sheetFormatPr defaultRowHeight="16.5" x14ac:dyDescent="0.25"/>
  <cols>
    <col min="1" max="1" width="13" bestFit="1" customWidth="1"/>
    <col min="2" max="2" width="11.875" bestFit="1" customWidth="1"/>
  </cols>
  <sheetData>
    <row r="1" spans="1:2" x14ac:dyDescent="0.25">
      <c r="A1" t="s">
        <v>13</v>
      </c>
      <c r="B1" t="s">
        <v>14</v>
      </c>
    </row>
    <row r="2" spans="1:2" x14ac:dyDescent="0.25">
      <c r="A2" s="43" t="s">
        <v>15</v>
      </c>
      <c r="B2">
        <v>247.5</v>
      </c>
    </row>
    <row r="3" spans="1:2" x14ac:dyDescent="0.25">
      <c r="A3" s="43" t="s">
        <v>16</v>
      </c>
      <c r="B3">
        <v>250</v>
      </c>
    </row>
    <row r="4" spans="1:2" x14ac:dyDescent="0.25">
      <c r="A4" s="43" t="s">
        <v>17</v>
      </c>
      <c r="B4">
        <v>270</v>
      </c>
    </row>
    <row r="5" spans="1:2" x14ac:dyDescent="0.25">
      <c r="A5" s="43" t="s">
        <v>18</v>
      </c>
      <c r="B5">
        <v>241.5</v>
      </c>
    </row>
    <row r="6" spans="1:2" x14ac:dyDescent="0.25">
      <c r="A6" s="43" t="s">
        <v>19</v>
      </c>
      <c r="B6">
        <v>255.4</v>
      </c>
    </row>
    <row r="7" spans="1:2" x14ac:dyDescent="0.25">
      <c r="A7" s="43" t="s">
        <v>20</v>
      </c>
      <c r="B7">
        <v>125.29</v>
      </c>
    </row>
    <row r="8" spans="1:2" x14ac:dyDescent="0.25">
      <c r="A8" s="43" t="s">
        <v>21</v>
      </c>
      <c r="B8">
        <v>256</v>
      </c>
    </row>
    <row r="9" spans="1:2" x14ac:dyDescent="0.25">
      <c r="A9" s="43" t="s">
        <v>22</v>
      </c>
      <c r="B9">
        <v>3.32E-2</v>
      </c>
    </row>
    <row r="10" spans="1:2" x14ac:dyDescent="0.25">
      <c r="A10" s="43" t="s">
        <v>23</v>
      </c>
      <c r="B10">
        <v>8.5</v>
      </c>
    </row>
    <row r="11" spans="1:2" x14ac:dyDescent="0.25">
      <c r="A11" s="43" t="s">
        <v>24</v>
      </c>
      <c r="B11">
        <v>49044</v>
      </c>
    </row>
    <row r="12" spans="1:2" x14ac:dyDescent="0.25">
      <c r="A12" s="43" t="s">
        <v>25</v>
      </c>
      <c r="B12">
        <v>45388</v>
      </c>
    </row>
    <row r="13" spans="1:2" x14ac:dyDescent="0.25">
      <c r="A13" s="43" t="s">
        <v>26</v>
      </c>
      <c r="B13">
        <v>0.1113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F54C1-78D3-4F8A-AA06-C301FBCDF593}">
  <dimension ref="A1:G252"/>
  <sheetViews>
    <sheetView workbookViewId="0">
      <pane xSplit="5" ySplit="13" topLeftCell="F14" activePane="bottomRight" state="frozen"/>
      <selection pane="topRight" activeCell="F1" sqref="F1"/>
      <selection pane="bottomLeft" activeCell="A14" sqref="A14"/>
      <selection pane="bottomRight" activeCell="K14" sqref="K14"/>
    </sheetView>
  </sheetViews>
  <sheetFormatPr defaultRowHeight="16.5" x14ac:dyDescent="0.25"/>
  <cols>
    <col min="1" max="1" width="10.375" bestFit="1" customWidth="1"/>
    <col min="2" max="2" width="14.375" customWidth="1"/>
    <col min="3" max="3" width="10.375" bestFit="1" customWidth="1"/>
    <col min="4" max="4" width="12.125" bestFit="1" customWidth="1"/>
    <col min="5" max="5" width="10.375" bestFit="1" customWidth="1"/>
    <col min="7" max="7" width="14.125" bestFit="1" customWidth="1"/>
    <col min="10" max="10" width="13.875" customWidth="1"/>
  </cols>
  <sheetData>
    <row r="1" spans="1:7" x14ac:dyDescent="0.25">
      <c r="A1" s="49" t="s">
        <v>7</v>
      </c>
      <c r="B1" s="49"/>
      <c r="C1" s="49"/>
      <c r="D1" s="49"/>
      <c r="E1" s="49"/>
      <c r="F1" s="65" t="s">
        <v>50</v>
      </c>
      <c r="G1" s="65"/>
    </row>
    <row r="2" spans="1:7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25">
      <c r="A3" s="83">
        <f>(E3-F3)/D3</f>
        <v>111.72</v>
      </c>
      <c r="B3" s="63">
        <f>E3/D3</f>
        <v>111.72</v>
      </c>
      <c r="C3" s="84">
        <f>SUM('6285股價'!B2)</f>
        <v>247.5</v>
      </c>
      <c r="D3" s="55">
        <f>SUM(D6:D999)</f>
        <v>6000</v>
      </c>
      <c r="E3" s="55">
        <f>SUM(E6:E999)</f>
        <v>670320</v>
      </c>
      <c r="F3" s="55">
        <f>SUM(F6:F999)</f>
        <v>0</v>
      </c>
      <c r="G3" s="7">
        <f>G4/E3</f>
        <v>1.215359828141783</v>
      </c>
    </row>
    <row r="4" spans="1:7" x14ac:dyDescent="0.25">
      <c r="A4" s="83"/>
      <c r="B4" s="63"/>
      <c r="C4" s="84"/>
      <c r="D4" s="55"/>
      <c r="E4" s="55"/>
      <c r="F4" s="55"/>
      <c r="G4" s="33">
        <f>(C3-B3)*D3+F3</f>
        <v>814680</v>
      </c>
    </row>
    <row r="5" spans="1:7" x14ac:dyDescent="0.25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51" t="s">
        <v>5</v>
      </c>
      <c r="G5" s="51"/>
    </row>
    <row r="6" spans="1:7" x14ac:dyDescent="0.25">
      <c r="A6" s="10">
        <v>1</v>
      </c>
      <c r="B6" s="20">
        <v>20250909</v>
      </c>
      <c r="C6" s="20">
        <v>120</v>
      </c>
      <c r="D6" s="20">
        <v>1000</v>
      </c>
      <c r="E6" s="20">
        <v>120111</v>
      </c>
      <c r="F6" s="59"/>
      <c r="G6" s="59"/>
    </row>
    <row r="7" spans="1:7" x14ac:dyDescent="0.25">
      <c r="A7" s="10">
        <v>2</v>
      </c>
      <c r="B7" s="20">
        <v>20250911</v>
      </c>
      <c r="C7" s="20">
        <v>118</v>
      </c>
      <c r="D7" s="20">
        <v>1000</v>
      </c>
      <c r="E7" s="20">
        <v>118109</v>
      </c>
      <c r="F7" s="59"/>
      <c r="G7" s="59"/>
    </row>
    <row r="8" spans="1:7" x14ac:dyDescent="0.25">
      <c r="A8" s="10">
        <v>3</v>
      </c>
      <c r="B8" s="20">
        <v>20250911</v>
      </c>
      <c r="C8" s="20">
        <v>117.5</v>
      </c>
      <c r="D8" s="20">
        <v>1000</v>
      </c>
      <c r="E8" s="20">
        <v>117609</v>
      </c>
      <c r="F8" s="59"/>
      <c r="G8" s="59"/>
    </row>
    <row r="9" spans="1:7" x14ac:dyDescent="0.25">
      <c r="A9" s="10">
        <v>4</v>
      </c>
      <c r="B9" s="20">
        <v>20250911</v>
      </c>
      <c r="C9" s="20">
        <v>117</v>
      </c>
      <c r="D9" s="20">
        <v>1000</v>
      </c>
      <c r="E9" s="20">
        <v>117108</v>
      </c>
      <c r="F9" s="59"/>
      <c r="G9" s="59"/>
    </row>
    <row r="10" spans="1:7" x14ac:dyDescent="0.25">
      <c r="A10" s="10">
        <v>5</v>
      </c>
      <c r="B10" s="20">
        <v>20251119</v>
      </c>
      <c r="C10" s="20">
        <v>99</v>
      </c>
      <c r="D10" s="20">
        <v>1000</v>
      </c>
      <c r="E10" s="20">
        <v>99092</v>
      </c>
      <c r="F10" s="59"/>
      <c r="G10" s="59"/>
    </row>
    <row r="11" spans="1:7" x14ac:dyDescent="0.25">
      <c r="A11" s="10">
        <v>6</v>
      </c>
      <c r="B11" s="20">
        <v>20251119</v>
      </c>
      <c r="C11" s="20">
        <v>98.2</v>
      </c>
      <c r="D11" s="20">
        <v>1000</v>
      </c>
      <c r="E11" s="20">
        <v>98291</v>
      </c>
      <c r="F11" s="60"/>
      <c r="G11" s="61"/>
    </row>
    <row r="12" spans="1:7" x14ac:dyDescent="0.25">
      <c r="A12" s="10">
        <v>7</v>
      </c>
      <c r="B12" s="28"/>
      <c r="C12" s="28"/>
      <c r="D12" s="28"/>
      <c r="E12" s="28"/>
      <c r="F12" s="71"/>
      <c r="G12" s="72"/>
    </row>
    <row r="13" spans="1:7" x14ac:dyDescent="0.25">
      <c r="A13" s="10">
        <v>8</v>
      </c>
      <c r="B13" s="28"/>
      <c r="C13" s="28"/>
      <c r="D13" s="28"/>
      <c r="E13" s="28"/>
      <c r="F13" s="71"/>
      <c r="G13" s="72"/>
    </row>
    <row r="14" spans="1:7" x14ac:dyDescent="0.25">
      <c r="A14" s="10">
        <v>9</v>
      </c>
      <c r="B14" s="28"/>
      <c r="C14" s="28"/>
      <c r="D14" s="28"/>
      <c r="E14" s="28"/>
      <c r="F14" s="71"/>
      <c r="G14" s="72"/>
    </row>
    <row r="15" spans="1:7" x14ac:dyDescent="0.25">
      <c r="A15" s="10">
        <v>10</v>
      </c>
      <c r="B15" s="28"/>
      <c r="C15" s="28"/>
      <c r="D15" s="28"/>
      <c r="E15" s="28"/>
      <c r="F15" s="71"/>
      <c r="G15" s="72"/>
    </row>
    <row r="16" spans="1:7" x14ac:dyDescent="0.25">
      <c r="A16" s="10">
        <v>11</v>
      </c>
      <c r="B16" s="6"/>
      <c r="C16" s="6"/>
      <c r="D16" s="6"/>
      <c r="E16" s="6"/>
      <c r="F16" s="79"/>
      <c r="G16" s="80"/>
    </row>
    <row r="17" spans="1:7" x14ac:dyDescent="0.25">
      <c r="A17" s="10">
        <v>12</v>
      </c>
      <c r="B17" s="6"/>
      <c r="C17" s="6"/>
      <c r="D17" s="6"/>
      <c r="E17" s="6"/>
      <c r="F17" s="79"/>
      <c r="G17" s="80"/>
    </row>
    <row r="18" spans="1:7" x14ac:dyDescent="0.25">
      <c r="A18" s="10">
        <v>13</v>
      </c>
      <c r="B18" s="6"/>
      <c r="C18" s="6"/>
      <c r="D18" s="6"/>
      <c r="E18" s="6"/>
      <c r="F18" s="79"/>
      <c r="G18" s="80"/>
    </row>
    <row r="19" spans="1:7" x14ac:dyDescent="0.25">
      <c r="A19" s="10">
        <v>14</v>
      </c>
      <c r="B19" s="6"/>
      <c r="C19" s="6"/>
      <c r="D19" s="6"/>
      <c r="E19" s="6"/>
      <c r="F19" s="79"/>
      <c r="G19" s="80"/>
    </row>
    <row r="20" spans="1:7" x14ac:dyDescent="0.25">
      <c r="A20" s="10">
        <v>15</v>
      </c>
      <c r="B20" s="6"/>
      <c r="C20" s="6"/>
      <c r="D20" s="6"/>
      <c r="E20" s="6"/>
      <c r="F20" s="79"/>
      <c r="G20" s="80"/>
    </row>
    <row r="21" spans="1:7" x14ac:dyDescent="0.25">
      <c r="A21" s="10">
        <v>16</v>
      </c>
      <c r="B21" s="6"/>
      <c r="C21" s="6"/>
      <c r="D21" s="6"/>
      <c r="E21" s="6"/>
      <c r="F21" s="79"/>
      <c r="G21" s="80"/>
    </row>
    <row r="22" spans="1:7" x14ac:dyDescent="0.25">
      <c r="A22" s="10">
        <v>17</v>
      </c>
      <c r="B22" s="6"/>
      <c r="C22" s="6"/>
      <c r="D22" s="6"/>
      <c r="E22" s="6"/>
      <c r="F22" s="81"/>
      <c r="G22" s="82"/>
    </row>
    <row r="23" spans="1:7" x14ac:dyDescent="0.25">
      <c r="A23" s="10">
        <v>18</v>
      </c>
      <c r="B23" s="6"/>
      <c r="C23" s="6"/>
      <c r="D23" s="6"/>
      <c r="E23" s="6"/>
      <c r="F23" s="81"/>
      <c r="G23" s="82"/>
    </row>
    <row r="24" spans="1:7" x14ac:dyDescent="0.25">
      <c r="A24" s="10">
        <v>19</v>
      </c>
      <c r="B24" s="5"/>
      <c r="C24" s="5"/>
      <c r="D24" s="5"/>
      <c r="E24" s="5"/>
      <c r="F24" s="75"/>
      <c r="G24" s="76"/>
    </row>
    <row r="25" spans="1:7" x14ac:dyDescent="0.25">
      <c r="A25" s="10">
        <v>20</v>
      </c>
      <c r="B25" s="5"/>
      <c r="C25" s="5"/>
      <c r="D25" s="5"/>
      <c r="E25" s="5"/>
      <c r="F25" s="75"/>
      <c r="G25" s="76"/>
    </row>
    <row r="26" spans="1:7" x14ac:dyDescent="0.25">
      <c r="A26" s="10">
        <v>21</v>
      </c>
      <c r="B26" s="5"/>
      <c r="C26" s="5"/>
      <c r="D26" s="5"/>
      <c r="E26" s="5"/>
      <c r="F26" s="75"/>
      <c r="G26" s="76"/>
    </row>
    <row r="27" spans="1:7" x14ac:dyDescent="0.25">
      <c r="A27" s="10">
        <v>22</v>
      </c>
      <c r="B27" s="5"/>
      <c r="C27" s="5"/>
      <c r="D27" s="5"/>
      <c r="E27" s="5"/>
      <c r="F27" s="75"/>
      <c r="G27" s="76"/>
    </row>
    <row r="28" spans="1:7" x14ac:dyDescent="0.25">
      <c r="A28" s="10">
        <v>23</v>
      </c>
      <c r="B28" s="5"/>
      <c r="C28" s="5"/>
      <c r="D28" s="5"/>
      <c r="E28" s="5"/>
      <c r="F28" s="75"/>
      <c r="G28" s="76"/>
    </row>
    <row r="29" spans="1:7" x14ac:dyDescent="0.25">
      <c r="A29" s="10">
        <v>24</v>
      </c>
      <c r="B29" s="5"/>
      <c r="C29" s="5"/>
      <c r="D29" s="5"/>
      <c r="E29" s="5"/>
      <c r="F29" s="75"/>
      <c r="G29" s="76"/>
    </row>
    <row r="30" spans="1:7" x14ac:dyDescent="0.25">
      <c r="A30" s="10">
        <v>25</v>
      </c>
      <c r="B30" s="5"/>
      <c r="C30" s="5"/>
      <c r="D30" s="5"/>
      <c r="E30" s="5"/>
      <c r="F30" s="75"/>
      <c r="G30" s="76"/>
    </row>
    <row r="31" spans="1:7" x14ac:dyDescent="0.25">
      <c r="A31" s="10">
        <v>26</v>
      </c>
      <c r="B31" s="5"/>
      <c r="C31" s="5"/>
      <c r="D31" s="5"/>
      <c r="E31" s="5"/>
      <c r="F31" s="75"/>
      <c r="G31" s="76"/>
    </row>
    <row r="32" spans="1:7" x14ac:dyDescent="0.25">
      <c r="A32" s="10">
        <v>27</v>
      </c>
      <c r="B32" s="5"/>
      <c r="C32" s="5"/>
      <c r="D32" s="5"/>
      <c r="E32" s="5"/>
      <c r="F32" s="75"/>
      <c r="G32" s="76"/>
    </row>
    <row r="33" spans="1:7" x14ac:dyDescent="0.25">
      <c r="A33" s="10">
        <v>28</v>
      </c>
      <c r="B33" s="5"/>
      <c r="C33" s="5"/>
      <c r="D33" s="5"/>
      <c r="E33" s="5"/>
      <c r="F33" s="75"/>
      <c r="G33" s="76"/>
    </row>
    <row r="34" spans="1:7" x14ac:dyDescent="0.25">
      <c r="A34" s="10">
        <v>29</v>
      </c>
      <c r="B34" s="5"/>
      <c r="C34" s="5"/>
      <c r="D34" s="5"/>
      <c r="E34" s="5"/>
      <c r="F34" s="75"/>
      <c r="G34" s="76"/>
    </row>
    <row r="35" spans="1:7" x14ac:dyDescent="0.25">
      <c r="A35" s="10">
        <v>30</v>
      </c>
      <c r="B35" s="5"/>
      <c r="C35" s="5"/>
      <c r="D35" s="5"/>
      <c r="E35" s="5"/>
      <c r="F35" s="75"/>
      <c r="G35" s="76"/>
    </row>
    <row r="36" spans="1:7" x14ac:dyDescent="0.25">
      <c r="A36" s="10">
        <v>31</v>
      </c>
      <c r="B36" s="5"/>
      <c r="C36" s="5"/>
      <c r="D36" s="5"/>
      <c r="E36" s="5"/>
      <c r="F36" s="75"/>
      <c r="G36" s="76"/>
    </row>
    <row r="37" spans="1:7" x14ac:dyDescent="0.25">
      <c r="A37" s="10">
        <v>32</v>
      </c>
      <c r="B37" s="5"/>
      <c r="C37" s="5"/>
      <c r="D37" s="5"/>
      <c r="E37" s="5"/>
      <c r="F37" s="75"/>
      <c r="G37" s="76"/>
    </row>
    <row r="38" spans="1:7" x14ac:dyDescent="0.25">
      <c r="A38" s="10">
        <v>33</v>
      </c>
      <c r="B38" s="5"/>
      <c r="C38" s="5"/>
      <c r="D38" s="5"/>
      <c r="E38" s="5"/>
      <c r="F38" s="75"/>
      <c r="G38" s="76"/>
    </row>
    <row r="39" spans="1:7" x14ac:dyDescent="0.25">
      <c r="A39" s="10">
        <v>34</v>
      </c>
      <c r="B39" s="5"/>
      <c r="C39" s="5"/>
      <c r="D39" s="5"/>
      <c r="E39" s="5"/>
      <c r="F39" s="75"/>
      <c r="G39" s="76"/>
    </row>
    <row r="40" spans="1:7" x14ac:dyDescent="0.25">
      <c r="A40" s="10">
        <v>35</v>
      </c>
      <c r="B40" s="5"/>
      <c r="C40" s="5"/>
      <c r="D40" s="5"/>
      <c r="E40" s="5"/>
      <c r="F40" s="75"/>
      <c r="G40" s="76"/>
    </row>
    <row r="41" spans="1:7" x14ac:dyDescent="0.25">
      <c r="A41" s="10">
        <v>36</v>
      </c>
      <c r="B41" s="5"/>
      <c r="C41" s="5"/>
      <c r="D41" s="5"/>
      <c r="E41" s="5"/>
      <c r="F41" s="75"/>
      <c r="G41" s="76"/>
    </row>
    <row r="42" spans="1:7" x14ac:dyDescent="0.25">
      <c r="A42" s="10">
        <v>37</v>
      </c>
      <c r="B42" s="5"/>
      <c r="C42" s="5"/>
      <c r="D42" s="5"/>
      <c r="E42" s="5"/>
      <c r="F42" s="75"/>
      <c r="G42" s="76"/>
    </row>
    <row r="43" spans="1:7" x14ac:dyDescent="0.25">
      <c r="A43" s="10">
        <v>38</v>
      </c>
      <c r="B43" s="5"/>
      <c r="C43" s="5"/>
      <c r="D43" s="5"/>
      <c r="E43" s="5"/>
      <c r="F43" s="75"/>
      <c r="G43" s="76"/>
    </row>
    <row r="44" spans="1:7" x14ac:dyDescent="0.25">
      <c r="A44" s="10">
        <v>39</v>
      </c>
      <c r="B44" s="5"/>
      <c r="C44" s="5"/>
      <c r="D44" s="5"/>
      <c r="E44" s="5"/>
      <c r="F44" s="75"/>
      <c r="G44" s="76"/>
    </row>
    <row r="45" spans="1:7" x14ac:dyDescent="0.25">
      <c r="A45" s="10">
        <v>40</v>
      </c>
      <c r="B45" s="5"/>
      <c r="C45" s="5"/>
      <c r="D45" s="5"/>
      <c r="E45" s="5"/>
      <c r="F45" s="75"/>
      <c r="G45" s="76"/>
    </row>
    <row r="46" spans="1:7" x14ac:dyDescent="0.25">
      <c r="A46" s="10">
        <v>41</v>
      </c>
      <c r="B46" s="5"/>
      <c r="C46" s="5"/>
      <c r="D46" s="5"/>
      <c r="E46" s="5"/>
      <c r="F46" s="75"/>
      <c r="G46" s="76"/>
    </row>
    <row r="47" spans="1:7" x14ac:dyDescent="0.25">
      <c r="A47" s="10">
        <v>42</v>
      </c>
      <c r="B47" s="5"/>
      <c r="C47" s="5"/>
      <c r="D47" s="5"/>
      <c r="E47" s="5"/>
      <c r="F47" s="75"/>
      <c r="G47" s="76"/>
    </row>
    <row r="48" spans="1:7" x14ac:dyDescent="0.25">
      <c r="A48" s="10">
        <v>43</v>
      </c>
      <c r="B48" s="5"/>
      <c r="C48" s="5"/>
      <c r="D48" s="5"/>
      <c r="E48" s="5"/>
      <c r="F48" s="75"/>
      <c r="G48" s="76"/>
    </row>
    <row r="49" spans="1:7" x14ac:dyDescent="0.25">
      <c r="A49" s="10">
        <v>44</v>
      </c>
      <c r="B49" s="5"/>
      <c r="C49" s="5"/>
      <c r="D49" s="5"/>
      <c r="E49" s="5"/>
      <c r="F49" s="75"/>
      <c r="G49" s="76"/>
    </row>
    <row r="50" spans="1:7" x14ac:dyDescent="0.25">
      <c r="A50" s="10">
        <v>45</v>
      </c>
      <c r="B50" s="5"/>
      <c r="C50" s="5"/>
      <c r="D50" s="5"/>
      <c r="E50" s="5"/>
      <c r="F50" s="75"/>
      <c r="G50" s="76"/>
    </row>
    <row r="51" spans="1:7" x14ac:dyDescent="0.25">
      <c r="A51" s="10">
        <v>46</v>
      </c>
      <c r="B51" s="5"/>
      <c r="C51" s="5"/>
      <c r="D51" s="5"/>
      <c r="E51" s="5"/>
      <c r="F51" s="75"/>
      <c r="G51" s="76"/>
    </row>
    <row r="52" spans="1:7" x14ac:dyDescent="0.25">
      <c r="A52" s="10">
        <v>47</v>
      </c>
      <c r="B52" s="5"/>
      <c r="C52" s="5"/>
      <c r="D52" s="5"/>
      <c r="E52" s="5"/>
      <c r="F52" s="75"/>
      <c r="G52" s="76"/>
    </row>
    <row r="53" spans="1:7" x14ac:dyDescent="0.25">
      <c r="A53" s="10">
        <v>48</v>
      </c>
      <c r="B53" s="5"/>
      <c r="C53" s="5"/>
      <c r="D53" s="5"/>
      <c r="E53" s="5"/>
      <c r="F53" s="75"/>
      <c r="G53" s="76"/>
    </row>
    <row r="54" spans="1:7" x14ac:dyDescent="0.25">
      <c r="A54" s="10">
        <v>49</v>
      </c>
      <c r="B54" s="5"/>
      <c r="C54" s="5"/>
      <c r="D54" s="5"/>
      <c r="E54" s="5"/>
      <c r="F54" s="75"/>
      <c r="G54" s="76"/>
    </row>
    <row r="55" spans="1:7" x14ac:dyDescent="0.25">
      <c r="A55" s="10">
        <v>50</v>
      </c>
      <c r="B55" s="5"/>
      <c r="C55" s="5"/>
      <c r="D55" s="5"/>
      <c r="E55" s="5"/>
      <c r="F55" s="75"/>
      <c r="G55" s="76"/>
    </row>
    <row r="56" spans="1:7" x14ac:dyDescent="0.25">
      <c r="A56" s="10">
        <v>51</v>
      </c>
      <c r="B56" s="5"/>
      <c r="C56" s="5"/>
      <c r="D56" s="5"/>
      <c r="E56" s="5"/>
      <c r="F56" s="75"/>
      <c r="G56" s="76"/>
    </row>
    <row r="57" spans="1:7" x14ac:dyDescent="0.25">
      <c r="A57" s="10">
        <v>52</v>
      </c>
      <c r="B57" s="5"/>
      <c r="C57" s="5"/>
      <c r="D57" s="5"/>
      <c r="E57" s="5"/>
      <c r="F57" s="75"/>
      <c r="G57" s="76"/>
    </row>
    <row r="58" spans="1:7" x14ac:dyDescent="0.25">
      <c r="A58" s="10">
        <v>53</v>
      </c>
      <c r="B58" s="5"/>
      <c r="C58" s="5"/>
      <c r="D58" s="5"/>
      <c r="E58" s="5"/>
      <c r="F58" s="75"/>
      <c r="G58" s="76"/>
    </row>
    <row r="59" spans="1:7" x14ac:dyDescent="0.25">
      <c r="A59" s="10">
        <v>54</v>
      </c>
      <c r="B59" s="5"/>
      <c r="C59" s="5"/>
      <c r="D59" s="5"/>
      <c r="E59" s="5"/>
      <c r="F59" s="75"/>
      <c r="G59" s="76"/>
    </row>
    <row r="60" spans="1:7" x14ac:dyDescent="0.25">
      <c r="A60" s="10">
        <v>55</v>
      </c>
      <c r="B60" s="5"/>
      <c r="C60" s="5"/>
      <c r="D60" s="5"/>
      <c r="E60" s="5"/>
      <c r="F60" s="75"/>
      <c r="G60" s="76"/>
    </row>
    <row r="61" spans="1:7" x14ac:dyDescent="0.25">
      <c r="A61" s="10">
        <v>56</v>
      </c>
      <c r="B61" s="5"/>
      <c r="C61" s="5"/>
      <c r="D61" s="5"/>
      <c r="E61" s="5"/>
      <c r="F61" s="75"/>
      <c r="G61" s="76"/>
    </row>
    <row r="62" spans="1:7" x14ac:dyDescent="0.25">
      <c r="A62" s="10">
        <v>57</v>
      </c>
      <c r="B62" s="5"/>
      <c r="C62" s="5"/>
      <c r="D62" s="5"/>
      <c r="E62" s="5"/>
      <c r="F62" s="75"/>
      <c r="G62" s="76"/>
    </row>
    <row r="63" spans="1:7" x14ac:dyDescent="0.25">
      <c r="A63" s="10">
        <v>58</v>
      </c>
      <c r="B63" s="5"/>
      <c r="C63" s="5"/>
      <c r="D63" s="5"/>
      <c r="E63" s="5"/>
      <c r="F63" s="75"/>
      <c r="G63" s="76"/>
    </row>
    <row r="64" spans="1:7" x14ac:dyDescent="0.25">
      <c r="A64" s="10">
        <v>59</v>
      </c>
      <c r="B64" s="5"/>
      <c r="C64" s="5"/>
      <c r="D64" s="5"/>
      <c r="E64" s="5"/>
      <c r="F64" s="75"/>
      <c r="G64" s="76"/>
    </row>
    <row r="65" spans="1:7" x14ac:dyDescent="0.25">
      <c r="A65" s="10">
        <v>60</v>
      </c>
      <c r="B65" s="5"/>
      <c r="C65" s="5"/>
      <c r="D65" s="5"/>
      <c r="E65" s="5"/>
      <c r="F65" s="75"/>
      <c r="G65" s="76"/>
    </row>
    <row r="66" spans="1:7" x14ac:dyDescent="0.25">
      <c r="A66" s="10">
        <v>61</v>
      </c>
      <c r="B66" s="5"/>
      <c r="C66" s="5"/>
      <c r="D66" s="5"/>
      <c r="E66" s="5"/>
      <c r="F66" s="75"/>
      <c r="G66" s="76"/>
    </row>
    <row r="67" spans="1:7" x14ac:dyDescent="0.25">
      <c r="A67" s="10">
        <v>62</v>
      </c>
      <c r="B67" s="5"/>
      <c r="C67" s="5"/>
      <c r="D67" s="5"/>
      <c r="E67" s="5"/>
      <c r="F67" s="75"/>
      <c r="G67" s="76"/>
    </row>
    <row r="68" spans="1:7" x14ac:dyDescent="0.25">
      <c r="A68" s="10">
        <v>63</v>
      </c>
      <c r="B68" s="5"/>
      <c r="C68" s="5"/>
      <c r="D68" s="5"/>
      <c r="E68" s="5"/>
      <c r="F68" s="75"/>
      <c r="G68" s="76"/>
    </row>
    <row r="69" spans="1:7" x14ac:dyDescent="0.25">
      <c r="A69" s="10">
        <v>64</v>
      </c>
      <c r="B69" s="5"/>
      <c r="C69" s="5"/>
      <c r="D69" s="5"/>
      <c r="E69" s="5"/>
      <c r="F69" s="75"/>
      <c r="G69" s="76"/>
    </row>
    <row r="70" spans="1:7" x14ac:dyDescent="0.25">
      <c r="A70" s="10">
        <v>65</v>
      </c>
      <c r="B70" s="5"/>
      <c r="C70" s="5"/>
      <c r="D70" s="5"/>
      <c r="E70" s="5"/>
      <c r="F70" s="75"/>
      <c r="G70" s="76"/>
    </row>
    <row r="71" spans="1:7" x14ac:dyDescent="0.25">
      <c r="A71" s="10">
        <v>66</v>
      </c>
      <c r="B71" s="5"/>
      <c r="C71" s="5"/>
      <c r="D71" s="5"/>
      <c r="E71" s="5"/>
      <c r="F71" s="75"/>
      <c r="G71" s="76"/>
    </row>
    <row r="72" spans="1:7" x14ac:dyDescent="0.25">
      <c r="A72" s="10">
        <v>67</v>
      </c>
      <c r="B72" s="5"/>
      <c r="C72" s="5"/>
      <c r="D72" s="5"/>
      <c r="E72" s="5"/>
      <c r="F72" s="75"/>
      <c r="G72" s="76"/>
    </row>
    <row r="73" spans="1:7" x14ac:dyDescent="0.25">
      <c r="A73" s="10">
        <v>68</v>
      </c>
      <c r="B73" s="5"/>
      <c r="C73" s="5"/>
      <c r="D73" s="5"/>
      <c r="E73" s="5"/>
      <c r="F73" s="75"/>
      <c r="G73" s="76"/>
    </row>
    <row r="74" spans="1:7" x14ac:dyDescent="0.25">
      <c r="A74" s="10">
        <v>69</v>
      </c>
      <c r="B74" s="5"/>
      <c r="C74" s="5"/>
      <c r="D74" s="5"/>
      <c r="E74" s="5"/>
      <c r="F74" s="75"/>
      <c r="G74" s="76"/>
    </row>
    <row r="75" spans="1:7" x14ac:dyDescent="0.25">
      <c r="A75" s="10">
        <v>70</v>
      </c>
      <c r="B75" s="5"/>
      <c r="C75" s="5"/>
      <c r="D75" s="5"/>
      <c r="E75" s="5"/>
      <c r="F75" s="75"/>
      <c r="G75" s="76"/>
    </row>
    <row r="76" spans="1:7" x14ac:dyDescent="0.25">
      <c r="A76" s="10">
        <v>71</v>
      </c>
      <c r="B76" s="5"/>
      <c r="C76" s="5"/>
      <c r="D76" s="5"/>
      <c r="E76" s="5"/>
      <c r="F76" s="75"/>
      <c r="G76" s="76"/>
    </row>
    <row r="77" spans="1:7" x14ac:dyDescent="0.25">
      <c r="A77" s="10">
        <v>72</v>
      </c>
      <c r="B77" s="5"/>
      <c r="C77" s="5"/>
      <c r="D77" s="5"/>
      <c r="E77" s="5"/>
      <c r="F77" s="75"/>
      <c r="G77" s="76"/>
    </row>
    <row r="78" spans="1:7" x14ac:dyDescent="0.25">
      <c r="A78" s="10">
        <v>73</v>
      </c>
      <c r="B78" s="5"/>
      <c r="C78" s="5"/>
      <c r="D78" s="5"/>
      <c r="E78" s="5"/>
      <c r="F78" s="75"/>
      <c r="G78" s="76"/>
    </row>
    <row r="79" spans="1:7" x14ac:dyDescent="0.25">
      <c r="A79" s="10">
        <v>74</v>
      </c>
      <c r="B79" s="5"/>
      <c r="C79" s="5"/>
      <c r="D79" s="5"/>
      <c r="E79" s="5"/>
      <c r="F79" s="75"/>
      <c r="G79" s="76"/>
    </row>
    <row r="80" spans="1:7" x14ac:dyDescent="0.25">
      <c r="A80" s="10">
        <v>75</v>
      </c>
      <c r="B80" s="5"/>
      <c r="C80" s="5"/>
      <c r="D80" s="5"/>
      <c r="E80" s="5"/>
      <c r="F80" s="75"/>
      <c r="G80" s="76"/>
    </row>
    <row r="81" spans="1:7" x14ac:dyDescent="0.25">
      <c r="A81" s="10">
        <v>76</v>
      </c>
      <c r="B81" s="5"/>
      <c r="C81" s="5"/>
      <c r="D81" s="5"/>
      <c r="E81" s="5"/>
      <c r="F81" s="75"/>
      <c r="G81" s="76"/>
    </row>
    <row r="82" spans="1:7" x14ac:dyDescent="0.25">
      <c r="A82" s="10">
        <v>77</v>
      </c>
      <c r="B82" s="5"/>
      <c r="C82" s="5"/>
      <c r="D82" s="5"/>
      <c r="E82" s="5"/>
      <c r="F82" s="75"/>
      <c r="G82" s="76"/>
    </row>
    <row r="83" spans="1:7" x14ac:dyDescent="0.25">
      <c r="A83" s="10">
        <v>78</v>
      </c>
      <c r="B83" s="5"/>
      <c r="C83" s="5"/>
      <c r="D83" s="5"/>
      <c r="E83" s="5"/>
      <c r="F83" s="75"/>
      <c r="G83" s="76"/>
    </row>
    <row r="84" spans="1:7" x14ac:dyDescent="0.25">
      <c r="A84" s="10">
        <v>79</v>
      </c>
      <c r="B84" s="5"/>
      <c r="C84" s="5"/>
      <c r="D84" s="5"/>
      <c r="E84" s="5"/>
      <c r="F84" s="75"/>
      <c r="G84" s="76"/>
    </row>
    <row r="85" spans="1:7" x14ac:dyDescent="0.25">
      <c r="A85" s="10">
        <v>80</v>
      </c>
      <c r="B85" s="5"/>
      <c r="C85" s="5"/>
      <c r="D85" s="5"/>
      <c r="E85" s="5"/>
      <c r="F85" s="75"/>
      <c r="G85" s="76"/>
    </row>
    <row r="86" spans="1:7" x14ac:dyDescent="0.25">
      <c r="A86" s="10">
        <v>81</v>
      </c>
      <c r="B86" s="5"/>
      <c r="C86" s="5"/>
      <c r="D86" s="5"/>
      <c r="E86" s="5"/>
      <c r="F86" s="75"/>
      <c r="G86" s="76"/>
    </row>
    <row r="87" spans="1:7" x14ac:dyDescent="0.25">
      <c r="A87" s="10">
        <v>82</v>
      </c>
      <c r="B87" s="5"/>
      <c r="C87" s="5"/>
      <c r="D87" s="5"/>
      <c r="E87" s="5"/>
      <c r="F87" s="75"/>
      <c r="G87" s="76"/>
    </row>
    <row r="88" spans="1:7" x14ac:dyDescent="0.25">
      <c r="A88" s="10">
        <v>83</v>
      </c>
      <c r="B88" s="5"/>
      <c r="C88" s="5"/>
      <c r="D88" s="5"/>
      <c r="E88" s="5"/>
      <c r="F88" s="75"/>
      <c r="G88" s="76"/>
    </row>
    <row r="89" spans="1:7" x14ac:dyDescent="0.25">
      <c r="A89" s="10">
        <v>84</v>
      </c>
      <c r="B89" s="5"/>
      <c r="C89" s="5"/>
      <c r="D89" s="5"/>
      <c r="E89" s="5"/>
      <c r="F89" s="75"/>
      <c r="G89" s="76"/>
    </row>
    <row r="90" spans="1:7" x14ac:dyDescent="0.25">
      <c r="A90" s="10">
        <v>85</v>
      </c>
      <c r="B90" s="5"/>
      <c r="C90" s="5"/>
      <c r="D90" s="5"/>
      <c r="E90" s="5"/>
      <c r="F90" s="75"/>
      <c r="G90" s="76"/>
    </row>
    <row r="91" spans="1:7" x14ac:dyDescent="0.25">
      <c r="A91" s="10">
        <v>86</v>
      </c>
      <c r="B91" s="5"/>
      <c r="C91" s="5"/>
      <c r="D91" s="5"/>
      <c r="E91" s="5"/>
      <c r="F91" s="75"/>
      <c r="G91" s="76"/>
    </row>
    <row r="92" spans="1:7" x14ac:dyDescent="0.25">
      <c r="A92" s="10">
        <v>87</v>
      </c>
      <c r="B92" s="5"/>
      <c r="C92" s="5"/>
      <c r="D92" s="5"/>
      <c r="E92" s="5"/>
      <c r="F92" s="75"/>
      <c r="G92" s="76"/>
    </row>
    <row r="93" spans="1:7" x14ac:dyDescent="0.25">
      <c r="A93" s="10">
        <v>88</v>
      </c>
      <c r="B93" s="5"/>
      <c r="C93" s="5"/>
      <c r="D93" s="5"/>
      <c r="E93" s="5"/>
      <c r="F93" s="75"/>
      <c r="G93" s="76"/>
    </row>
    <row r="94" spans="1:7" x14ac:dyDescent="0.25">
      <c r="A94" s="10">
        <v>89</v>
      </c>
      <c r="B94" s="5"/>
      <c r="C94" s="5"/>
      <c r="D94" s="5"/>
      <c r="E94" s="5"/>
      <c r="F94" s="75"/>
      <c r="G94" s="76"/>
    </row>
    <row r="95" spans="1:7" x14ac:dyDescent="0.25">
      <c r="A95" s="10">
        <v>90</v>
      </c>
      <c r="B95" s="5"/>
      <c r="C95" s="5"/>
      <c r="D95" s="5"/>
      <c r="E95" s="5"/>
      <c r="F95" s="75"/>
      <c r="G95" s="76"/>
    </row>
    <row r="96" spans="1:7" x14ac:dyDescent="0.25">
      <c r="A96" s="10">
        <v>91</v>
      </c>
      <c r="B96" s="5"/>
      <c r="C96" s="5"/>
      <c r="D96" s="5"/>
      <c r="E96" s="5"/>
      <c r="F96" s="75"/>
      <c r="G96" s="76"/>
    </row>
    <row r="97" spans="1:7" x14ac:dyDescent="0.25">
      <c r="A97" s="10">
        <v>92</v>
      </c>
      <c r="B97" s="5"/>
      <c r="C97" s="5"/>
      <c r="D97" s="5"/>
      <c r="E97" s="5"/>
      <c r="F97" s="75"/>
      <c r="G97" s="76"/>
    </row>
    <row r="98" spans="1:7" x14ac:dyDescent="0.25">
      <c r="A98" s="10">
        <v>93</v>
      </c>
      <c r="B98" s="5"/>
      <c r="C98" s="5"/>
      <c r="D98" s="5"/>
      <c r="E98" s="5"/>
      <c r="F98" s="75"/>
      <c r="G98" s="76"/>
    </row>
    <row r="99" spans="1:7" x14ac:dyDescent="0.25">
      <c r="A99" s="10">
        <v>94</v>
      </c>
      <c r="B99" s="5"/>
      <c r="C99" s="5"/>
      <c r="D99" s="5"/>
      <c r="E99" s="5"/>
      <c r="F99" s="75"/>
      <c r="G99" s="76"/>
    </row>
    <row r="100" spans="1:7" x14ac:dyDescent="0.25">
      <c r="A100" s="10">
        <v>95</v>
      </c>
      <c r="B100" s="5"/>
      <c r="C100" s="5"/>
      <c r="D100" s="5"/>
      <c r="E100" s="5"/>
      <c r="F100" s="75"/>
      <c r="G100" s="76"/>
    </row>
    <row r="101" spans="1:7" x14ac:dyDescent="0.25">
      <c r="A101" s="10">
        <v>96</v>
      </c>
      <c r="B101" s="5"/>
      <c r="C101" s="5"/>
      <c r="D101" s="5"/>
      <c r="E101" s="5"/>
      <c r="F101" s="75"/>
      <c r="G101" s="76"/>
    </row>
    <row r="102" spans="1:7" x14ac:dyDescent="0.25">
      <c r="A102" s="10">
        <v>97</v>
      </c>
      <c r="B102" s="5"/>
      <c r="C102" s="5"/>
      <c r="D102" s="5"/>
      <c r="E102" s="5"/>
      <c r="F102" s="75"/>
      <c r="G102" s="76"/>
    </row>
    <row r="103" spans="1:7" x14ac:dyDescent="0.25">
      <c r="A103" s="10">
        <v>98</v>
      </c>
      <c r="B103" s="5"/>
      <c r="C103" s="5"/>
      <c r="D103" s="5"/>
      <c r="E103" s="5"/>
      <c r="F103" s="75"/>
      <c r="G103" s="76"/>
    </row>
    <row r="104" spans="1:7" x14ac:dyDescent="0.25">
      <c r="A104" s="10">
        <v>99</v>
      </c>
      <c r="B104" s="5"/>
      <c r="C104" s="5"/>
      <c r="D104" s="5"/>
      <c r="E104" s="5"/>
      <c r="F104" s="75"/>
      <c r="G104" s="76"/>
    </row>
    <row r="105" spans="1:7" x14ac:dyDescent="0.25">
      <c r="A105" s="10">
        <v>100</v>
      </c>
      <c r="B105" s="5"/>
      <c r="C105" s="5"/>
      <c r="D105" s="5"/>
      <c r="E105" s="5"/>
      <c r="F105" s="75"/>
      <c r="G105" s="76"/>
    </row>
    <row r="106" spans="1:7" x14ac:dyDescent="0.25">
      <c r="A106" s="10">
        <v>101</v>
      </c>
      <c r="B106" s="5"/>
      <c r="C106" s="5"/>
      <c r="D106" s="5"/>
      <c r="E106" s="5"/>
      <c r="F106" s="75"/>
      <c r="G106" s="76"/>
    </row>
    <row r="107" spans="1:7" x14ac:dyDescent="0.25">
      <c r="A107" s="10">
        <v>102</v>
      </c>
      <c r="B107" s="5"/>
      <c r="C107" s="5"/>
      <c r="D107" s="5"/>
      <c r="E107" s="5"/>
      <c r="F107" s="75"/>
      <c r="G107" s="76"/>
    </row>
    <row r="108" spans="1:7" x14ac:dyDescent="0.25">
      <c r="A108" s="10">
        <v>103</v>
      </c>
      <c r="B108" s="5"/>
      <c r="C108" s="5"/>
      <c r="D108" s="5"/>
      <c r="E108" s="5"/>
      <c r="F108" s="75"/>
      <c r="G108" s="76"/>
    </row>
    <row r="109" spans="1:7" x14ac:dyDescent="0.25">
      <c r="A109" s="10">
        <v>104</v>
      </c>
      <c r="B109" s="5"/>
      <c r="C109" s="5"/>
      <c r="D109" s="5"/>
      <c r="E109" s="5"/>
      <c r="F109" s="75"/>
      <c r="G109" s="76"/>
    </row>
    <row r="110" spans="1:7" x14ac:dyDescent="0.25">
      <c r="A110" s="10">
        <v>105</v>
      </c>
      <c r="B110" s="5"/>
      <c r="C110" s="5"/>
      <c r="D110" s="5"/>
      <c r="E110" s="5"/>
      <c r="F110" s="75"/>
      <c r="G110" s="76"/>
    </row>
    <row r="111" spans="1:7" x14ac:dyDescent="0.25">
      <c r="A111" s="10">
        <v>106</v>
      </c>
      <c r="B111" s="5"/>
      <c r="C111" s="5"/>
      <c r="D111" s="5"/>
      <c r="E111" s="5"/>
      <c r="F111" s="75"/>
      <c r="G111" s="76"/>
    </row>
    <row r="112" spans="1:7" x14ac:dyDescent="0.25">
      <c r="A112" s="10">
        <v>107</v>
      </c>
      <c r="B112" s="5"/>
      <c r="C112" s="5"/>
      <c r="D112" s="5"/>
      <c r="E112" s="5"/>
      <c r="F112" s="75"/>
      <c r="G112" s="76"/>
    </row>
    <row r="113" spans="1:7" x14ac:dyDescent="0.25">
      <c r="A113" s="10">
        <v>108</v>
      </c>
      <c r="B113" s="5"/>
      <c r="C113" s="5"/>
      <c r="D113" s="5"/>
      <c r="E113" s="5"/>
      <c r="F113" s="75"/>
      <c r="G113" s="76"/>
    </row>
    <row r="114" spans="1:7" x14ac:dyDescent="0.25">
      <c r="A114" s="10">
        <v>109</v>
      </c>
      <c r="B114" s="5"/>
      <c r="C114" s="5"/>
      <c r="D114" s="5"/>
      <c r="E114" s="5"/>
      <c r="F114" s="75"/>
      <c r="G114" s="76"/>
    </row>
    <row r="115" spans="1:7" x14ac:dyDescent="0.25">
      <c r="A115" s="10">
        <v>110</v>
      </c>
      <c r="B115" s="5"/>
      <c r="C115" s="5"/>
      <c r="D115" s="5"/>
      <c r="E115" s="5"/>
      <c r="F115" s="75"/>
      <c r="G115" s="76"/>
    </row>
    <row r="116" spans="1:7" x14ac:dyDescent="0.25">
      <c r="A116" s="10">
        <v>111</v>
      </c>
      <c r="B116" s="5"/>
      <c r="C116" s="5"/>
      <c r="D116" s="5"/>
      <c r="E116" s="5"/>
      <c r="F116" s="75"/>
      <c r="G116" s="76"/>
    </row>
    <row r="117" spans="1:7" x14ac:dyDescent="0.25">
      <c r="A117" s="10">
        <v>112</v>
      </c>
      <c r="B117" s="5"/>
      <c r="C117" s="5"/>
      <c r="D117" s="5"/>
      <c r="E117" s="5"/>
      <c r="F117" s="75"/>
      <c r="G117" s="76"/>
    </row>
    <row r="118" spans="1:7" x14ac:dyDescent="0.25">
      <c r="A118" s="10">
        <v>113</v>
      </c>
      <c r="B118" s="5"/>
      <c r="C118" s="5"/>
      <c r="D118" s="5"/>
      <c r="E118" s="5"/>
      <c r="F118" s="75"/>
      <c r="G118" s="76"/>
    </row>
    <row r="119" spans="1:7" x14ac:dyDescent="0.25">
      <c r="A119" s="10">
        <v>114</v>
      </c>
      <c r="B119" s="5"/>
      <c r="C119" s="5"/>
      <c r="D119" s="5"/>
      <c r="E119" s="5"/>
      <c r="F119" s="75"/>
      <c r="G119" s="76"/>
    </row>
    <row r="120" spans="1:7" x14ac:dyDescent="0.25">
      <c r="A120" s="10">
        <v>115</v>
      </c>
      <c r="B120" s="5"/>
      <c r="C120" s="5"/>
      <c r="D120" s="5"/>
      <c r="E120" s="5"/>
      <c r="F120" s="75"/>
      <c r="G120" s="76"/>
    </row>
    <row r="121" spans="1:7" x14ac:dyDescent="0.25">
      <c r="A121" s="10">
        <v>116</v>
      </c>
      <c r="B121" s="5"/>
      <c r="C121" s="5"/>
      <c r="D121" s="5"/>
      <c r="E121" s="5"/>
      <c r="F121" s="75"/>
      <c r="G121" s="76"/>
    </row>
    <row r="122" spans="1:7" x14ac:dyDescent="0.25">
      <c r="A122" s="10">
        <v>117</v>
      </c>
      <c r="B122" s="5"/>
      <c r="C122" s="5"/>
      <c r="D122" s="5"/>
      <c r="E122" s="5"/>
      <c r="F122" s="75"/>
      <c r="G122" s="76"/>
    </row>
    <row r="123" spans="1:7" x14ac:dyDescent="0.25">
      <c r="A123" s="10">
        <v>118</v>
      </c>
      <c r="B123" s="5"/>
      <c r="C123" s="5"/>
      <c r="D123" s="5"/>
      <c r="E123" s="5"/>
      <c r="F123" s="75"/>
      <c r="G123" s="76"/>
    </row>
    <row r="124" spans="1:7" x14ac:dyDescent="0.25">
      <c r="A124" s="10">
        <v>119</v>
      </c>
      <c r="B124" s="5"/>
      <c r="C124" s="5"/>
      <c r="D124" s="5"/>
      <c r="E124" s="5"/>
      <c r="F124" s="75"/>
      <c r="G124" s="76"/>
    </row>
    <row r="125" spans="1:7" x14ac:dyDescent="0.25">
      <c r="A125" s="10">
        <v>120</v>
      </c>
      <c r="B125" s="5"/>
      <c r="C125" s="5"/>
      <c r="D125" s="5"/>
      <c r="E125" s="5"/>
      <c r="F125" s="75"/>
      <c r="G125" s="76"/>
    </row>
    <row r="126" spans="1:7" x14ac:dyDescent="0.25">
      <c r="A126" s="10">
        <v>121</v>
      </c>
      <c r="B126" s="5"/>
      <c r="C126" s="5"/>
      <c r="D126" s="5"/>
      <c r="E126" s="5"/>
      <c r="F126" s="75"/>
      <c r="G126" s="76"/>
    </row>
    <row r="127" spans="1:7" x14ac:dyDescent="0.25">
      <c r="A127" s="10">
        <v>122</v>
      </c>
      <c r="B127" s="5"/>
      <c r="C127" s="5"/>
      <c r="D127" s="5"/>
      <c r="E127" s="5"/>
      <c r="F127" s="75"/>
      <c r="G127" s="76"/>
    </row>
    <row r="128" spans="1:7" x14ac:dyDescent="0.25">
      <c r="A128" s="10">
        <v>123</v>
      </c>
      <c r="B128" s="5"/>
      <c r="C128" s="5"/>
      <c r="D128" s="5"/>
      <c r="E128" s="5"/>
      <c r="F128" s="75"/>
      <c r="G128" s="76"/>
    </row>
    <row r="129" spans="1:7" x14ac:dyDescent="0.25">
      <c r="A129" s="10">
        <v>124</v>
      </c>
      <c r="B129" s="5"/>
      <c r="C129" s="5"/>
      <c r="D129" s="5"/>
      <c r="E129" s="5"/>
      <c r="F129" s="75"/>
      <c r="G129" s="76"/>
    </row>
    <row r="130" spans="1:7" x14ac:dyDescent="0.25">
      <c r="A130" s="10">
        <v>125</v>
      </c>
      <c r="B130" s="5"/>
      <c r="C130" s="5"/>
      <c r="D130" s="5"/>
      <c r="E130" s="5"/>
      <c r="F130" s="75"/>
      <c r="G130" s="76"/>
    </row>
    <row r="131" spans="1:7" x14ac:dyDescent="0.25">
      <c r="A131" s="10">
        <v>126</v>
      </c>
      <c r="B131" s="5"/>
      <c r="C131" s="5"/>
      <c r="D131" s="5"/>
      <c r="E131" s="5"/>
      <c r="F131" s="75"/>
      <c r="G131" s="76"/>
    </row>
    <row r="132" spans="1:7" x14ac:dyDescent="0.25">
      <c r="A132" s="10">
        <v>127</v>
      </c>
      <c r="B132" s="5"/>
      <c r="C132" s="5"/>
      <c r="D132" s="5"/>
      <c r="E132" s="5"/>
      <c r="F132" s="75"/>
      <c r="G132" s="76"/>
    </row>
    <row r="133" spans="1:7" x14ac:dyDescent="0.25">
      <c r="A133" s="10">
        <v>128</v>
      </c>
      <c r="B133" s="5"/>
      <c r="C133" s="5"/>
      <c r="D133" s="5"/>
      <c r="E133" s="5"/>
      <c r="F133" s="75"/>
      <c r="G133" s="76"/>
    </row>
    <row r="134" spans="1:7" x14ac:dyDescent="0.25">
      <c r="A134" s="10">
        <v>129</v>
      </c>
      <c r="B134" s="5"/>
      <c r="C134" s="5"/>
      <c r="D134" s="5"/>
      <c r="E134" s="5"/>
      <c r="F134" s="75"/>
      <c r="G134" s="76"/>
    </row>
    <row r="135" spans="1:7" x14ac:dyDescent="0.25">
      <c r="A135" s="10">
        <v>130</v>
      </c>
      <c r="B135" s="5"/>
      <c r="C135" s="5"/>
      <c r="D135" s="5"/>
      <c r="E135" s="5"/>
      <c r="F135" s="75"/>
      <c r="G135" s="76"/>
    </row>
    <row r="136" spans="1:7" x14ac:dyDescent="0.25">
      <c r="A136" s="10">
        <v>131</v>
      </c>
      <c r="B136" s="5"/>
      <c r="C136" s="5"/>
      <c r="D136" s="5"/>
      <c r="E136" s="5"/>
      <c r="F136" s="75"/>
      <c r="G136" s="76"/>
    </row>
    <row r="137" spans="1:7" x14ac:dyDescent="0.25">
      <c r="A137" s="10">
        <v>132</v>
      </c>
      <c r="B137" s="5"/>
      <c r="C137" s="5"/>
      <c r="D137" s="5"/>
      <c r="E137" s="5"/>
      <c r="F137" s="75"/>
      <c r="G137" s="76"/>
    </row>
    <row r="138" spans="1:7" x14ac:dyDescent="0.25">
      <c r="A138" s="10">
        <v>133</v>
      </c>
      <c r="B138" s="5"/>
      <c r="C138" s="5"/>
      <c r="D138" s="5"/>
      <c r="E138" s="5"/>
      <c r="F138" s="75"/>
      <c r="G138" s="76"/>
    </row>
    <row r="139" spans="1:7" x14ac:dyDescent="0.25">
      <c r="A139" s="10">
        <v>134</v>
      </c>
      <c r="B139" s="5"/>
      <c r="C139" s="5"/>
      <c r="D139" s="5"/>
      <c r="E139" s="5"/>
      <c r="F139" s="75"/>
      <c r="G139" s="76"/>
    </row>
    <row r="140" spans="1:7" x14ac:dyDescent="0.25">
      <c r="A140" s="10">
        <v>135</v>
      </c>
      <c r="B140" s="5"/>
      <c r="C140" s="5"/>
      <c r="D140" s="5"/>
      <c r="E140" s="5"/>
      <c r="F140" s="75"/>
      <c r="G140" s="76"/>
    </row>
    <row r="141" spans="1:7" x14ac:dyDescent="0.25">
      <c r="A141" s="10">
        <v>136</v>
      </c>
      <c r="B141" s="5"/>
      <c r="C141" s="5"/>
      <c r="D141" s="5"/>
      <c r="E141" s="5"/>
      <c r="F141" s="75"/>
      <c r="G141" s="76"/>
    </row>
    <row r="142" spans="1:7" x14ac:dyDescent="0.25">
      <c r="A142" s="10">
        <v>137</v>
      </c>
      <c r="B142" s="5"/>
      <c r="C142" s="5"/>
      <c r="D142" s="5"/>
      <c r="E142" s="5"/>
      <c r="F142" s="75"/>
      <c r="G142" s="76"/>
    </row>
    <row r="143" spans="1:7" x14ac:dyDescent="0.25">
      <c r="A143" s="10">
        <v>138</v>
      </c>
      <c r="B143" s="5"/>
      <c r="C143" s="5"/>
      <c r="D143" s="5"/>
      <c r="E143" s="5"/>
      <c r="F143" s="75"/>
      <c r="G143" s="76"/>
    </row>
    <row r="144" spans="1:7" x14ac:dyDescent="0.25">
      <c r="A144" s="10">
        <v>139</v>
      </c>
      <c r="B144" s="5"/>
      <c r="C144" s="5"/>
      <c r="D144" s="5"/>
      <c r="E144" s="5"/>
      <c r="F144" s="75"/>
      <c r="G144" s="76"/>
    </row>
    <row r="145" spans="1:7" x14ac:dyDescent="0.25">
      <c r="A145" s="10">
        <v>140</v>
      </c>
      <c r="B145" s="5"/>
      <c r="C145" s="5"/>
      <c r="D145" s="5"/>
      <c r="E145" s="5"/>
      <c r="F145" s="75"/>
      <c r="G145" s="76"/>
    </row>
    <row r="146" spans="1:7" x14ac:dyDescent="0.25">
      <c r="A146" s="10">
        <v>141</v>
      </c>
      <c r="B146" s="5"/>
      <c r="C146" s="5"/>
      <c r="D146" s="5"/>
      <c r="E146" s="5"/>
      <c r="F146" s="75"/>
      <c r="G146" s="76"/>
    </row>
    <row r="147" spans="1:7" x14ac:dyDescent="0.25">
      <c r="A147" s="10">
        <v>142</v>
      </c>
      <c r="B147" s="5"/>
      <c r="C147" s="5"/>
      <c r="D147" s="5"/>
      <c r="E147" s="5"/>
      <c r="F147" s="75"/>
      <c r="G147" s="76"/>
    </row>
    <row r="148" spans="1:7" x14ac:dyDescent="0.25">
      <c r="A148" s="10">
        <v>143</v>
      </c>
      <c r="B148" s="5"/>
      <c r="C148" s="5"/>
      <c r="D148" s="5"/>
      <c r="E148" s="5"/>
      <c r="F148" s="75"/>
      <c r="G148" s="76"/>
    </row>
    <row r="149" spans="1:7" x14ac:dyDescent="0.25">
      <c r="A149" s="10">
        <v>144</v>
      </c>
      <c r="B149" s="5"/>
      <c r="C149" s="5"/>
      <c r="D149" s="5"/>
      <c r="E149" s="5"/>
      <c r="F149" s="75"/>
      <c r="G149" s="76"/>
    </row>
    <row r="150" spans="1:7" x14ac:dyDescent="0.25">
      <c r="A150" s="10">
        <v>145</v>
      </c>
      <c r="B150" s="5"/>
      <c r="C150" s="5"/>
      <c r="D150" s="5"/>
      <c r="E150" s="5"/>
      <c r="F150" s="75"/>
      <c r="G150" s="76"/>
    </row>
    <row r="151" spans="1:7" x14ac:dyDescent="0.25">
      <c r="A151" s="10">
        <v>146</v>
      </c>
      <c r="B151" s="5"/>
      <c r="C151" s="5"/>
      <c r="D151" s="5"/>
      <c r="E151" s="5"/>
      <c r="F151" s="75"/>
      <c r="G151" s="76"/>
    </row>
    <row r="152" spans="1:7" x14ac:dyDescent="0.25">
      <c r="A152" s="10">
        <v>147</v>
      </c>
      <c r="B152" s="5"/>
      <c r="C152" s="5"/>
      <c r="D152" s="5"/>
      <c r="E152" s="5"/>
      <c r="F152" s="75"/>
      <c r="G152" s="76"/>
    </row>
    <row r="153" spans="1:7" x14ac:dyDescent="0.25">
      <c r="A153" s="10">
        <v>148</v>
      </c>
      <c r="B153" s="5"/>
      <c r="C153" s="5"/>
      <c r="D153" s="5"/>
      <c r="E153" s="5"/>
      <c r="F153" s="75"/>
      <c r="G153" s="76"/>
    </row>
    <row r="154" spans="1:7" x14ac:dyDescent="0.25">
      <c r="A154" s="10">
        <v>149</v>
      </c>
      <c r="B154" s="5"/>
      <c r="C154" s="5"/>
      <c r="D154" s="5"/>
      <c r="E154" s="5"/>
      <c r="F154" s="75"/>
      <c r="G154" s="76"/>
    </row>
    <row r="155" spans="1:7" x14ac:dyDescent="0.25">
      <c r="A155" s="10">
        <v>150</v>
      </c>
      <c r="B155" s="5"/>
      <c r="C155" s="5"/>
      <c r="D155" s="5"/>
      <c r="E155" s="5"/>
      <c r="F155" s="75"/>
      <c r="G155" s="76"/>
    </row>
    <row r="156" spans="1:7" x14ac:dyDescent="0.25">
      <c r="A156" s="10">
        <v>151</v>
      </c>
      <c r="B156" s="5"/>
      <c r="C156" s="5"/>
      <c r="D156" s="5"/>
      <c r="E156" s="5"/>
      <c r="F156" s="75"/>
      <c r="G156" s="76"/>
    </row>
    <row r="157" spans="1:7" x14ac:dyDescent="0.25">
      <c r="A157" s="10">
        <v>152</v>
      </c>
      <c r="B157" s="5"/>
      <c r="C157" s="5"/>
      <c r="D157" s="5"/>
      <c r="E157" s="5"/>
      <c r="F157" s="75"/>
      <c r="G157" s="76"/>
    </row>
    <row r="158" spans="1:7" x14ac:dyDescent="0.25">
      <c r="A158" s="10">
        <v>153</v>
      </c>
      <c r="B158" s="5"/>
      <c r="C158" s="5"/>
      <c r="D158" s="5"/>
      <c r="E158" s="5"/>
      <c r="F158" s="75"/>
      <c r="G158" s="76"/>
    </row>
    <row r="159" spans="1:7" x14ac:dyDescent="0.25">
      <c r="A159" s="10">
        <v>154</v>
      </c>
      <c r="B159" s="5"/>
      <c r="C159" s="5"/>
      <c r="D159" s="5"/>
      <c r="E159" s="5"/>
      <c r="F159" s="75"/>
      <c r="G159" s="76"/>
    </row>
    <row r="160" spans="1:7" x14ac:dyDescent="0.25">
      <c r="A160" s="10">
        <v>155</v>
      </c>
      <c r="B160" s="5"/>
      <c r="C160" s="5"/>
      <c r="D160" s="5"/>
      <c r="E160" s="5"/>
      <c r="F160" s="75"/>
      <c r="G160" s="76"/>
    </row>
    <row r="161" spans="1:7" x14ac:dyDescent="0.25">
      <c r="A161" s="10">
        <v>156</v>
      </c>
      <c r="B161" s="5"/>
      <c r="C161" s="5"/>
      <c r="D161" s="5"/>
      <c r="E161" s="5"/>
      <c r="F161" s="75"/>
      <c r="G161" s="76"/>
    </row>
    <row r="162" spans="1:7" x14ac:dyDescent="0.25">
      <c r="A162" s="10">
        <v>157</v>
      </c>
      <c r="B162" s="5"/>
      <c r="C162" s="5"/>
      <c r="D162" s="5"/>
      <c r="E162" s="5"/>
      <c r="F162" s="75"/>
      <c r="G162" s="76"/>
    </row>
    <row r="163" spans="1:7" x14ac:dyDescent="0.25">
      <c r="A163" s="10">
        <v>158</v>
      </c>
      <c r="B163" s="5"/>
      <c r="C163" s="5"/>
      <c r="D163" s="5"/>
      <c r="E163" s="5"/>
      <c r="F163" s="75"/>
      <c r="G163" s="76"/>
    </row>
    <row r="164" spans="1:7" x14ac:dyDescent="0.25">
      <c r="A164" s="10">
        <v>159</v>
      </c>
      <c r="B164" s="5"/>
      <c r="C164" s="5"/>
      <c r="D164" s="5"/>
      <c r="E164" s="5"/>
      <c r="F164" s="75"/>
      <c r="G164" s="76"/>
    </row>
    <row r="165" spans="1:7" x14ac:dyDescent="0.25">
      <c r="A165" s="10">
        <v>160</v>
      </c>
      <c r="B165" s="5"/>
      <c r="C165" s="5"/>
      <c r="D165" s="5"/>
      <c r="E165" s="5"/>
      <c r="F165" s="75"/>
      <c r="G165" s="76"/>
    </row>
    <row r="166" spans="1:7" x14ac:dyDescent="0.25">
      <c r="A166" s="10">
        <v>161</v>
      </c>
      <c r="B166" s="5"/>
      <c r="C166" s="5"/>
      <c r="D166" s="5"/>
      <c r="E166" s="5"/>
      <c r="F166" s="75"/>
      <c r="G166" s="76"/>
    </row>
    <row r="167" spans="1:7" x14ac:dyDescent="0.25">
      <c r="A167" s="10">
        <v>162</v>
      </c>
      <c r="B167" s="5"/>
      <c r="C167" s="5"/>
      <c r="D167" s="5"/>
      <c r="E167" s="5"/>
      <c r="F167" s="75"/>
      <c r="G167" s="76"/>
    </row>
    <row r="168" spans="1:7" x14ac:dyDescent="0.25">
      <c r="A168" s="10">
        <v>163</v>
      </c>
      <c r="B168" s="5"/>
      <c r="C168" s="5"/>
      <c r="D168" s="5"/>
      <c r="E168" s="5"/>
      <c r="F168" s="75"/>
      <c r="G168" s="76"/>
    </row>
    <row r="169" spans="1:7" x14ac:dyDescent="0.25">
      <c r="A169" s="10">
        <v>164</v>
      </c>
      <c r="B169" s="5"/>
      <c r="C169" s="5"/>
      <c r="D169" s="5"/>
      <c r="E169" s="5"/>
      <c r="F169" s="75"/>
      <c r="G169" s="76"/>
    </row>
    <row r="170" spans="1:7" x14ac:dyDescent="0.25">
      <c r="A170" s="10">
        <v>165</v>
      </c>
      <c r="B170" s="5"/>
      <c r="C170" s="5"/>
      <c r="D170" s="5"/>
      <c r="E170" s="5"/>
      <c r="F170" s="75"/>
      <c r="G170" s="76"/>
    </row>
    <row r="171" spans="1:7" x14ac:dyDescent="0.25">
      <c r="A171" s="10">
        <v>166</v>
      </c>
      <c r="B171" s="5"/>
      <c r="C171" s="5"/>
      <c r="D171" s="5"/>
      <c r="E171" s="5"/>
      <c r="F171" s="75"/>
      <c r="G171" s="76"/>
    </row>
    <row r="172" spans="1:7" x14ac:dyDescent="0.25">
      <c r="A172" s="10">
        <v>167</v>
      </c>
      <c r="B172" s="5"/>
      <c r="C172" s="5"/>
      <c r="D172" s="5"/>
      <c r="E172" s="5"/>
      <c r="F172" s="75"/>
      <c r="G172" s="76"/>
    </row>
    <row r="173" spans="1:7" x14ac:dyDescent="0.25">
      <c r="A173" s="10">
        <v>168</v>
      </c>
      <c r="B173" s="5"/>
      <c r="C173" s="5"/>
      <c r="D173" s="5"/>
      <c r="E173" s="5"/>
      <c r="F173" s="75"/>
      <c r="G173" s="76"/>
    </row>
    <row r="174" spans="1:7" x14ac:dyDescent="0.25">
      <c r="A174" s="10">
        <v>169</v>
      </c>
      <c r="B174" s="5"/>
      <c r="C174" s="5"/>
      <c r="D174" s="5"/>
      <c r="E174" s="5"/>
      <c r="F174" s="75"/>
      <c r="G174" s="76"/>
    </row>
    <row r="175" spans="1:7" x14ac:dyDescent="0.25">
      <c r="A175" s="10">
        <v>170</v>
      </c>
      <c r="B175" s="5"/>
      <c r="C175" s="5"/>
      <c r="D175" s="5"/>
      <c r="E175" s="5"/>
      <c r="F175" s="75"/>
      <c r="G175" s="76"/>
    </row>
    <row r="176" spans="1:7" x14ac:dyDescent="0.25">
      <c r="A176" s="10">
        <v>171</v>
      </c>
      <c r="B176" s="5"/>
      <c r="C176" s="5"/>
      <c r="D176" s="5"/>
      <c r="E176" s="5"/>
      <c r="F176" s="75"/>
      <c r="G176" s="76"/>
    </row>
    <row r="177" spans="1:7" x14ac:dyDescent="0.25">
      <c r="A177" s="10">
        <v>172</v>
      </c>
      <c r="B177" s="5"/>
      <c r="C177" s="5"/>
      <c r="D177" s="5"/>
      <c r="E177" s="5"/>
      <c r="F177" s="75"/>
      <c r="G177" s="76"/>
    </row>
    <row r="178" spans="1:7" x14ac:dyDescent="0.25">
      <c r="A178" s="10">
        <v>173</v>
      </c>
      <c r="B178" s="5"/>
      <c r="C178" s="5"/>
      <c r="D178" s="5"/>
      <c r="E178" s="5"/>
      <c r="F178" s="75"/>
      <c r="G178" s="76"/>
    </row>
    <row r="179" spans="1:7" x14ac:dyDescent="0.25">
      <c r="A179" s="10">
        <v>174</v>
      </c>
      <c r="B179" s="5"/>
      <c r="C179" s="5"/>
      <c r="D179" s="5"/>
      <c r="E179" s="5"/>
      <c r="F179" s="75"/>
      <c r="G179" s="76"/>
    </row>
    <row r="180" spans="1:7" x14ac:dyDescent="0.25">
      <c r="A180" s="10">
        <v>175</v>
      </c>
      <c r="B180" s="5"/>
      <c r="C180" s="5"/>
      <c r="D180" s="5"/>
      <c r="E180" s="5"/>
      <c r="F180" s="75"/>
      <c r="G180" s="76"/>
    </row>
    <row r="181" spans="1:7" x14ac:dyDescent="0.25">
      <c r="A181" s="10">
        <v>176</v>
      </c>
      <c r="B181" s="5"/>
      <c r="C181" s="5"/>
      <c r="D181" s="5"/>
      <c r="E181" s="5"/>
      <c r="F181" s="75"/>
      <c r="G181" s="76"/>
    </row>
    <row r="182" spans="1:7" x14ac:dyDescent="0.25">
      <c r="A182" s="10">
        <v>177</v>
      </c>
      <c r="B182" s="5"/>
      <c r="C182" s="5"/>
      <c r="D182" s="5"/>
      <c r="E182" s="5"/>
      <c r="F182" s="75"/>
      <c r="G182" s="76"/>
    </row>
    <row r="183" spans="1:7" x14ac:dyDescent="0.25">
      <c r="A183" s="10">
        <v>178</v>
      </c>
      <c r="B183" s="5"/>
      <c r="C183" s="5"/>
      <c r="D183" s="5"/>
      <c r="E183" s="5"/>
      <c r="F183" s="75"/>
      <c r="G183" s="76"/>
    </row>
    <row r="184" spans="1:7" x14ac:dyDescent="0.25">
      <c r="A184" s="10">
        <v>179</v>
      </c>
      <c r="B184" s="5"/>
      <c r="C184" s="5"/>
      <c r="D184" s="5"/>
      <c r="E184" s="5"/>
      <c r="F184" s="75"/>
      <c r="G184" s="76"/>
    </row>
    <row r="185" spans="1:7" x14ac:dyDescent="0.25">
      <c r="A185" s="10">
        <v>180</v>
      </c>
      <c r="B185" s="5"/>
      <c r="C185" s="5"/>
      <c r="D185" s="5"/>
      <c r="E185" s="5"/>
      <c r="F185" s="75"/>
      <c r="G185" s="76"/>
    </row>
    <row r="186" spans="1:7" x14ac:dyDescent="0.25">
      <c r="A186" s="10">
        <v>181</v>
      </c>
      <c r="B186" s="5"/>
      <c r="C186" s="5"/>
      <c r="D186" s="5"/>
      <c r="E186" s="5"/>
      <c r="F186" s="75"/>
      <c r="G186" s="76"/>
    </row>
    <row r="187" spans="1:7" x14ac:dyDescent="0.25">
      <c r="A187" s="10">
        <v>182</v>
      </c>
      <c r="B187" s="5"/>
      <c r="C187" s="5"/>
      <c r="D187" s="5"/>
      <c r="E187" s="5"/>
      <c r="F187" s="75"/>
      <c r="G187" s="76"/>
    </row>
    <row r="188" spans="1:7" x14ac:dyDescent="0.25">
      <c r="A188" s="10">
        <v>183</v>
      </c>
      <c r="B188" s="5"/>
      <c r="C188" s="5"/>
      <c r="D188" s="5"/>
      <c r="E188" s="5"/>
      <c r="F188" s="75"/>
      <c r="G188" s="76"/>
    </row>
    <row r="189" spans="1:7" x14ac:dyDescent="0.25">
      <c r="A189" s="10">
        <v>184</v>
      </c>
      <c r="B189" s="5"/>
      <c r="C189" s="5"/>
      <c r="D189" s="5"/>
      <c r="E189" s="5"/>
      <c r="F189" s="75"/>
      <c r="G189" s="76"/>
    </row>
    <row r="190" spans="1:7" x14ac:dyDescent="0.25">
      <c r="A190" s="10">
        <v>185</v>
      </c>
      <c r="B190" s="5"/>
      <c r="C190" s="5"/>
      <c r="D190" s="5"/>
      <c r="E190" s="5"/>
      <c r="F190" s="75"/>
      <c r="G190" s="76"/>
    </row>
    <row r="191" spans="1:7" x14ac:dyDescent="0.25">
      <c r="A191" s="10">
        <v>186</v>
      </c>
      <c r="B191" s="5"/>
      <c r="C191" s="5"/>
      <c r="D191" s="5"/>
      <c r="E191" s="5"/>
      <c r="F191" s="75"/>
      <c r="G191" s="76"/>
    </row>
    <row r="192" spans="1:7" x14ac:dyDescent="0.25">
      <c r="A192" s="10">
        <v>187</v>
      </c>
      <c r="B192" s="5"/>
      <c r="C192" s="5"/>
      <c r="D192" s="5"/>
      <c r="E192" s="5"/>
      <c r="F192" s="75"/>
      <c r="G192" s="76"/>
    </row>
    <row r="193" spans="1:7" x14ac:dyDescent="0.25">
      <c r="A193" s="10">
        <v>188</v>
      </c>
      <c r="B193" s="5"/>
      <c r="C193" s="5"/>
      <c r="D193" s="5"/>
      <c r="E193" s="5"/>
      <c r="F193" s="75"/>
      <c r="G193" s="76"/>
    </row>
    <row r="194" spans="1:7" x14ac:dyDescent="0.25">
      <c r="A194" s="10">
        <v>189</v>
      </c>
      <c r="B194" s="5"/>
      <c r="C194" s="5"/>
      <c r="D194" s="5"/>
      <c r="E194" s="5"/>
      <c r="F194" s="75"/>
      <c r="G194" s="76"/>
    </row>
    <row r="195" spans="1:7" x14ac:dyDescent="0.25">
      <c r="A195" s="10">
        <v>190</v>
      </c>
      <c r="B195" s="5"/>
      <c r="C195" s="5"/>
      <c r="D195" s="5"/>
      <c r="E195" s="5"/>
      <c r="F195" s="75"/>
      <c r="G195" s="76"/>
    </row>
    <row r="196" spans="1:7" x14ac:dyDescent="0.25">
      <c r="A196" s="10">
        <v>191</v>
      </c>
      <c r="B196" s="5"/>
      <c r="C196" s="5"/>
      <c r="D196" s="5"/>
      <c r="E196" s="5"/>
      <c r="F196" s="75"/>
      <c r="G196" s="76"/>
    </row>
    <row r="197" spans="1:7" x14ac:dyDescent="0.25">
      <c r="A197" s="10">
        <v>192</v>
      </c>
      <c r="B197" s="5"/>
      <c r="C197" s="5"/>
      <c r="D197" s="5"/>
      <c r="E197" s="5"/>
      <c r="F197" s="75"/>
      <c r="G197" s="76"/>
    </row>
    <row r="198" spans="1:7" x14ac:dyDescent="0.25">
      <c r="A198" s="10">
        <v>193</v>
      </c>
      <c r="B198" s="5"/>
      <c r="C198" s="5"/>
      <c r="D198" s="5"/>
      <c r="E198" s="5"/>
      <c r="F198" s="75"/>
      <c r="G198" s="76"/>
    </row>
    <row r="199" spans="1:7" x14ac:dyDescent="0.25">
      <c r="A199" s="10">
        <v>194</v>
      </c>
      <c r="B199" s="5"/>
      <c r="C199" s="5"/>
      <c r="D199" s="5"/>
      <c r="E199" s="5"/>
      <c r="F199" s="75"/>
      <c r="G199" s="76"/>
    </row>
    <row r="200" spans="1:7" x14ac:dyDescent="0.25">
      <c r="A200" s="10">
        <v>195</v>
      </c>
      <c r="B200" s="5"/>
      <c r="C200" s="5"/>
      <c r="D200" s="5"/>
      <c r="E200" s="5"/>
      <c r="F200" s="75"/>
      <c r="G200" s="76"/>
    </row>
    <row r="201" spans="1:7" x14ac:dyDescent="0.25">
      <c r="A201" s="10">
        <v>196</v>
      </c>
      <c r="B201" s="5"/>
      <c r="C201" s="5"/>
      <c r="D201" s="5"/>
      <c r="E201" s="5"/>
      <c r="F201" s="75"/>
      <c r="G201" s="76"/>
    </row>
    <row r="202" spans="1:7" x14ac:dyDescent="0.25">
      <c r="A202" s="10">
        <v>197</v>
      </c>
      <c r="B202" s="5"/>
      <c r="C202" s="5"/>
      <c r="D202" s="5"/>
      <c r="E202" s="5"/>
      <c r="F202" s="75"/>
      <c r="G202" s="76"/>
    </row>
    <row r="203" spans="1:7" x14ac:dyDescent="0.25">
      <c r="A203" s="10">
        <v>198</v>
      </c>
      <c r="B203" s="5"/>
      <c r="C203" s="5"/>
      <c r="D203" s="5"/>
      <c r="E203" s="5"/>
      <c r="F203" s="75"/>
      <c r="G203" s="76"/>
    </row>
    <row r="204" spans="1:7" x14ac:dyDescent="0.25">
      <c r="A204" s="10">
        <v>199</v>
      </c>
      <c r="B204" s="5"/>
      <c r="C204" s="5"/>
      <c r="D204" s="5"/>
      <c r="E204" s="5"/>
      <c r="F204" s="75"/>
      <c r="G204" s="76"/>
    </row>
    <row r="205" spans="1:7" x14ac:dyDescent="0.25">
      <c r="A205" s="10">
        <v>200</v>
      </c>
      <c r="B205" s="5"/>
      <c r="C205" s="5"/>
      <c r="D205" s="5"/>
      <c r="E205" s="5"/>
      <c r="F205" s="75"/>
      <c r="G205" s="76"/>
    </row>
    <row r="206" spans="1:7" x14ac:dyDescent="0.25">
      <c r="A206" s="10">
        <v>201</v>
      </c>
      <c r="B206" s="5"/>
      <c r="C206" s="5"/>
      <c r="D206" s="5"/>
      <c r="E206" s="5"/>
      <c r="F206" s="75"/>
      <c r="G206" s="76"/>
    </row>
    <row r="207" spans="1:7" x14ac:dyDescent="0.25">
      <c r="A207" s="10">
        <v>202</v>
      </c>
      <c r="B207" s="5"/>
      <c r="C207" s="5"/>
      <c r="D207" s="5"/>
      <c r="E207" s="5"/>
      <c r="F207" s="75"/>
      <c r="G207" s="76"/>
    </row>
    <row r="208" spans="1:7" x14ac:dyDescent="0.25">
      <c r="A208" s="10">
        <v>203</v>
      </c>
      <c r="B208" s="5"/>
      <c r="C208" s="5"/>
      <c r="D208" s="5"/>
      <c r="E208" s="5"/>
      <c r="F208" s="75"/>
      <c r="G208" s="76"/>
    </row>
    <row r="209" spans="1:7" x14ac:dyDescent="0.25">
      <c r="A209" s="10">
        <v>204</v>
      </c>
      <c r="B209" s="5"/>
      <c r="C209" s="5"/>
      <c r="D209" s="5"/>
      <c r="E209" s="5"/>
      <c r="F209" s="75"/>
      <c r="G209" s="76"/>
    </row>
    <row r="210" spans="1:7" x14ac:dyDescent="0.25">
      <c r="A210" s="10">
        <v>205</v>
      </c>
      <c r="B210" s="5"/>
      <c r="C210" s="5"/>
      <c r="D210" s="5"/>
      <c r="E210" s="5"/>
      <c r="F210" s="75"/>
      <c r="G210" s="76"/>
    </row>
    <row r="211" spans="1:7" x14ac:dyDescent="0.25">
      <c r="A211" s="10">
        <v>206</v>
      </c>
      <c r="B211" s="5"/>
      <c r="C211" s="5"/>
      <c r="D211" s="5"/>
      <c r="E211" s="5"/>
      <c r="F211" s="75"/>
      <c r="G211" s="76"/>
    </row>
    <row r="212" spans="1:7" x14ac:dyDescent="0.25">
      <c r="A212" s="10">
        <v>207</v>
      </c>
      <c r="B212" s="5"/>
      <c r="C212" s="5"/>
      <c r="D212" s="5"/>
      <c r="E212" s="5"/>
      <c r="F212" s="75"/>
      <c r="G212" s="76"/>
    </row>
    <row r="213" spans="1:7" x14ac:dyDescent="0.25">
      <c r="A213" s="10">
        <v>208</v>
      </c>
      <c r="B213" s="5"/>
      <c r="C213" s="5"/>
      <c r="D213" s="5"/>
      <c r="E213" s="5"/>
      <c r="F213" s="75"/>
      <c r="G213" s="76"/>
    </row>
    <row r="214" spans="1:7" x14ac:dyDescent="0.25">
      <c r="A214" s="10">
        <v>209</v>
      </c>
      <c r="B214" s="5"/>
      <c r="C214" s="5"/>
      <c r="D214" s="5"/>
      <c r="E214" s="5"/>
      <c r="F214" s="75"/>
      <c r="G214" s="76"/>
    </row>
    <row r="215" spans="1:7" x14ac:dyDescent="0.25">
      <c r="A215" s="10">
        <v>210</v>
      </c>
      <c r="B215" s="5"/>
      <c r="C215" s="5"/>
      <c r="D215" s="5"/>
      <c r="E215" s="5"/>
      <c r="F215" s="75"/>
      <c r="G215" s="76"/>
    </row>
    <row r="216" spans="1:7" x14ac:dyDescent="0.25">
      <c r="A216" s="10">
        <v>211</v>
      </c>
      <c r="B216" s="5"/>
      <c r="C216" s="5"/>
      <c r="D216" s="5"/>
      <c r="E216" s="5"/>
      <c r="F216" s="75"/>
      <c r="G216" s="76"/>
    </row>
    <row r="217" spans="1:7" x14ac:dyDescent="0.25">
      <c r="A217" s="10">
        <v>212</v>
      </c>
      <c r="B217" s="5"/>
      <c r="C217" s="5"/>
      <c r="D217" s="5"/>
      <c r="E217" s="5"/>
      <c r="F217" s="75"/>
      <c r="G217" s="76"/>
    </row>
    <row r="218" spans="1:7" x14ac:dyDescent="0.25">
      <c r="A218" s="10">
        <v>213</v>
      </c>
      <c r="B218" s="5"/>
      <c r="C218" s="5"/>
      <c r="D218" s="5"/>
      <c r="E218" s="5"/>
      <c r="F218" s="75"/>
      <c r="G218" s="76"/>
    </row>
    <row r="219" spans="1:7" x14ac:dyDescent="0.25">
      <c r="A219" s="10">
        <v>214</v>
      </c>
      <c r="B219" s="5"/>
      <c r="C219" s="5"/>
      <c r="D219" s="5"/>
      <c r="E219" s="5"/>
      <c r="F219" s="75"/>
      <c r="G219" s="76"/>
    </row>
    <row r="220" spans="1:7" x14ac:dyDescent="0.25">
      <c r="A220" s="10">
        <v>215</v>
      </c>
      <c r="B220" s="5"/>
      <c r="C220" s="5"/>
      <c r="D220" s="5"/>
      <c r="E220" s="5"/>
      <c r="F220" s="75"/>
      <c r="G220" s="76"/>
    </row>
    <row r="221" spans="1:7" x14ac:dyDescent="0.25">
      <c r="A221" s="10">
        <v>216</v>
      </c>
      <c r="B221" s="5"/>
      <c r="C221" s="5"/>
      <c r="D221" s="5"/>
      <c r="E221" s="5"/>
      <c r="F221" s="75"/>
      <c r="G221" s="76"/>
    </row>
    <row r="222" spans="1:7" x14ac:dyDescent="0.25">
      <c r="A222" s="10">
        <v>217</v>
      </c>
      <c r="B222" s="5"/>
      <c r="C222" s="5"/>
      <c r="D222" s="5"/>
      <c r="E222" s="5"/>
      <c r="F222" s="75"/>
      <c r="G222" s="76"/>
    </row>
    <row r="223" spans="1:7" x14ac:dyDescent="0.25">
      <c r="A223" s="10">
        <v>218</v>
      </c>
      <c r="B223" s="5"/>
      <c r="C223" s="5"/>
      <c r="D223" s="5"/>
      <c r="E223" s="5"/>
      <c r="F223" s="75"/>
      <c r="G223" s="76"/>
    </row>
    <row r="224" spans="1:7" x14ac:dyDescent="0.25">
      <c r="A224" s="10">
        <v>219</v>
      </c>
      <c r="B224" s="5"/>
      <c r="C224" s="5"/>
      <c r="D224" s="5"/>
      <c r="E224" s="5"/>
      <c r="F224" s="75"/>
      <c r="G224" s="76"/>
    </row>
    <row r="225" spans="1:7" x14ac:dyDescent="0.25">
      <c r="A225" s="10">
        <v>220</v>
      </c>
      <c r="B225" s="5"/>
      <c r="C225" s="5"/>
      <c r="D225" s="5"/>
      <c r="E225" s="5"/>
      <c r="F225" s="75"/>
      <c r="G225" s="76"/>
    </row>
    <row r="226" spans="1:7" x14ac:dyDescent="0.25">
      <c r="A226" s="10">
        <v>221</v>
      </c>
      <c r="B226" s="5"/>
      <c r="C226" s="5"/>
      <c r="D226" s="5"/>
      <c r="E226" s="5"/>
      <c r="F226" s="75"/>
      <c r="G226" s="76"/>
    </row>
    <row r="227" spans="1:7" x14ac:dyDescent="0.25">
      <c r="A227" s="10">
        <v>222</v>
      </c>
      <c r="B227" s="5"/>
      <c r="C227" s="5"/>
      <c r="D227" s="5"/>
      <c r="E227" s="5"/>
      <c r="F227" s="75"/>
      <c r="G227" s="76"/>
    </row>
    <row r="228" spans="1:7" x14ac:dyDescent="0.25">
      <c r="A228" s="10">
        <v>223</v>
      </c>
      <c r="B228" s="5"/>
      <c r="C228" s="5"/>
      <c r="D228" s="5"/>
      <c r="E228" s="5"/>
      <c r="F228" s="75"/>
      <c r="G228" s="76"/>
    </row>
    <row r="229" spans="1:7" x14ac:dyDescent="0.25">
      <c r="A229" s="10">
        <v>224</v>
      </c>
      <c r="B229" s="5"/>
      <c r="C229" s="5"/>
      <c r="D229" s="5"/>
      <c r="E229" s="5"/>
      <c r="F229" s="75"/>
      <c r="G229" s="76"/>
    </row>
    <row r="230" spans="1:7" x14ac:dyDescent="0.25">
      <c r="A230" s="10">
        <v>225</v>
      </c>
      <c r="B230" s="5"/>
      <c r="C230" s="5"/>
      <c r="D230" s="5"/>
      <c r="E230" s="5"/>
      <c r="F230" s="75"/>
      <c r="G230" s="76"/>
    </row>
    <row r="231" spans="1:7" x14ac:dyDescent="0.25">
      <c r="A231" s="10">
        <v>226</v>
      </c>
      <c r="B231" s="5"/>
      <c r="C231" s="5"/>
      <c r="D231" s="5"/>
      <c r="E231" s="5"/>
      <c r="F231" s="75"/>
      <c r="G231" s="76"/>
    </row>
    <row r="232" spans="1:7" x14ac:dyDescent="0.25">
      <c r="A232" s="10">
        <v>227</v>
      </c>
      <c r="B232" s="5"/>
      <c r="C232" s="5"/>
      <c r="D232" s="5"/>
      <c r="E232" s="5"/>
      <c r="F232" s="75"/>
      <c r="G232" s="76"/>
    </row>
    <row r="233" spans="1:7" x14ac:dyDescent="0.25">
      <c r="A233" s="10">
        <v>228</v>
      </c>
      <c r="B233" s="5"/>
      <c r="C233" s="5"/>
      <c r="D233" s="5"/>
      <c r="E233" s="5"/>
      <c r="F233" s="75"/>
      <c r="G233" s="76"/>
    </row>
    <row r="234" spans="1:7" x14ac:dyDescent="0.25">
      <c r="A234" s="10">
        <v>229</v>
      </c>
      <c r="B234" s="5"/>
      <c r="C234" s="5"/>
      <c r="D234" s="5"/>
      <c r="E234" s="5"/>
      <c r="F234" s="75"/>
      <c r="G234" s="76"/>
    </row>
    <row r="235" spans="1:7" x14ac:dyDescent="0.25">
      <c r="A235" s="10">
        <v>230</v>
      </c>
      <c r="B235" s="5"/>
      <c r="C235" s="5"/>
      <c r="D235" s="5"/>
      <c r="E235" s="5"/>
      <c r="F235" s="75"/>
      <c r="G235" s="76"/>
    </row>
    <row r="236" spans="1:7" x14ac:dyDescent="0.25">
      <c r="A236" s="10">
        <v>231</v>
      </c>
      <c r="B236" s="5"/>
      <c r="C236" s="5"/>
      <c r="D236" s="5"/>
      <c r="E236" s="5"/>
      <c r="F236" s="75"/>
      <c r="G236" s="76"/>
    </row>
    <row r="237" spans="1:7" x14ac:dyDescent="0.25">
      <c r="A237" s="10">
        <v>232</v>
      </c>
      <c r="B237" s="5"/>
      <c r="C237" s="5"/>
      <c r="D237" s="5"/>
      <c r="E237" s="5"/>
      <c r="F237" s="75"/>
      <c r="G237" s="76"/>
    </row>
    <row r="238" spans="1:7" x14ac:dyDescent="0.25">
      <c r="A238" s="10">
        <v>233</v>
      </c>
      <c r="B238" s="5"/>
      <c r="C238" s="5"/>
      <c r="D238" s="5"/>
      <c r="E238" s="5"/>
      <c r="F238" s="75"/>
      <c r="G238" s="76"/>
    </row>
    <row r="239" spans="1:7" x14ac:dyDescent="0.25">
      <c r="A239" s="10">
        <v>234</v>
      </c>
      <c r="B239" s="5"/>
      <c r="C239" s="5"/>
      <c r="D239" s="5"/>
      <c r="E239" s="5"/>
      <c r="F239" s="75"/>
      <c r="G239" s="76"/>
    </row>
    <row r="240" spans="1:7" x14ac:dyDescent="0.25">
      <c r="A240" s="10">
        <v>235</v>
      </c>
      <c r="B240" s="5"/>
      <c r="C240" s="5"/>
      <c r="D240" s="5"/>
      <c r="E240" s="5"/>
      <c r="F240" s="75"/>
      <c r="G240" s="76"/>
    </row>
    <row r="241" spans="1:7" x14ac:dyDescent="0.25">
      <c r="A241" s="10">
        <v>236</v>
      </c>
      <c r="B241" s="5"/>
      <c r="C241" s="5"/>
      <c r="D241" s="5"/>
      <c r="E241" s="5"/>
      <c r="F241" s="75"/>
      <c r="G241" s="76"/>
    </row>
    <row r="242" spans="1:7" x14ac:dyDescent="0.25">
      <c r="A242" s="10">
        <v>237</v>
      </c>
      <c r="B242" s="5"/>
      <c r="C242" s="5"/>
      <c r="D242" s="5"/>
      <c r="E242" s="5"/>
      <c r="F242" s="75"/>
      <c r="G242" s="76"/>
    </row>
    <row r="243" spans="1:7" x14ac:dyDescent="0.25">
      <c r="A243" s="10">
        <v>238</v>
      </c>
      <c r="B243" s="5"/>
      <c r="C243" s="5"/>
      <c r="D243" s="5"/>
      <c r="E243" s="5"/>
      <c r="F243" s="75"/>
      <c r="G243" s="76"/>
    </row>
    <row r="244" spans="1:7" x14ac:dyDescent="0.25">
      <c r="A244" s="10">
        <v>239</v>
      </c>
      <c r="B244" s="5"/>
      <c r="C244" s="5"/>
      <c r="D244" s="5"/>
      <c r="E244" s="5"/>
      <c r="F244" s="75"/>
      <c r="G244" s="76"/>
    </row>
    <row r="245" spans="1:7" x14ac:dyDescent="0.25">
      <c r="A245" s="10">
        <v>240</v>
      </c>
      <c r="B245" s="5"/>
      <c r="C245" s="5"/>
      <c r="D245" s="5"/>
      <c r="E245" s="5"/>
      <c r="F245" s="75"/>
      <c r="G245" s="76"/>
    </row>
    <row r="246" spans="1:7" x14ac:dyDescent="0.25">
      <c r="A246" s="10">
        <v>241</v>
      </c>
      <c r="B246" s="5"/>
      <c r="C246" s="5"/>
      <c r="D246" s="5"/>
      <c r="E246" s="5"/>
      <c r="F246" s="75"/>
      <c r="G246" s="76"/>
    </row>
    <row r="247" spans="1:7" x14ac:dyDescent="0.25">
      <c r="A247" s="10">
        <v>242</v>
      </c>
      <c r="B247" s="5"/>
      <c r="C247" s="5"/>
      <c r="D247" s="5"/>
      <c r="E247" s="5"/>
      <c r="F247" s="75"/>
      <c r="G247" s="76"/>
    </row>
    <row r="248" spans="1:7" x14ac:dyDescent="0.25">
      <c r="A248" s="10">
        <v>243</v>
      </c>
      <c r="B248" s="5"/>
      <c r="C248" s="5"/>
      <c r="D248" s="5"/>
      <c r="E248" s="5"/>
      <c r="F248" s="75"/>
      <c r="G248" s="76"/>
    </row>
    <row r="249" spans="1:7" x14ac:dyDescent="0.25">
      <c r="A249" s="10">
        <v>244</v>
      </c>
      <c r="B249" s="5"/>
      <c r="C249" s="5"/>
      <c r="D249" s="5"/>
      <c r="E249" s="5"/>
      <c r="F249" s="75"/>
      <c r="G249" s="76"/>
    </row>
    <row r="250" spans="1:7" x14ac:dyDescent="0.25">
      <c r="A250" s="10">
        <v>245</v>
      </c>
      <c r="B250" s="5"/>
      <c r="C250" s="5"/>
      <c r="D250" s="5"/>
      <c r="E250" s="5"/>
      <c r="F250" s="75"/>
      <c r="G250" s="76"/>
    </row>
    <row r="251" spans="1:7" x14ac:dyDescent="0.25">
      <c r="A251" s="10">
        <v>246</v>
      </c>
      <c r="B251" s="5"/>
      <c r="C251" s="5"/>
      <c r="D251" s="5"/>
      <c r="E251" s="5"/>
      <c r="F251" s="75"/>
      <c r="G251" s="76"/>
    </row>
    <row r="252" spans="1:7" x14ac:dyDescent="0.25">
      <c r="A252" s="10">
        <v>247</v>
      </c>
      <c r="B252" s="5"/>
      <c r="C252" s="5"/>
      <c r="D252" s="5"/>
      <c r="E252" s="5"/>
      <c r="F252" s="75"/>
      <c r="G252" s="76"/>
    </row>
  </sheetData>
  <mergeCells count="256">
    <mergeCell ref="F251:G251"/>
    <mergeCell ref="F252:G252"/>
    <mergeCell ref="F245:G245"/>
    <mergeCell ref="F246:G246"/>
    <mergeCell ref="F247:G247"/>
    <mergeCell ref="F248:G248"/>
    <mergeCell ref="F249:G249"/>
    <mergeCell ref="F250:G250"/>
    <mergeCell ref="F239:G239"/>
    <mergeCell ref="F240:G240"/>
    <mergeCell ref="F241:G241"/>
    <mergeCell ref="F242:G242"/>
    <mergeCell ref="F243:G243"/>
    <mergeCell ref="F244:G244"/>
    <mergeCell ref="F233:G233"/>
    <mergeCell ref="F234:G234"/>
    <mergeCell ref="F235:G235"/>
    <mergeCell ref="F236:G236"/>
    <mergeCell ref="F237:G237"/>
    <mergeCell ref="F238:G238"/>
    <mergeCell ref="F227:G227"/>
    <mergeCell ref="F228:G228"/>
    <mergeCell ref="F229:G229"/>
    <mergeCell ref="F230:G230"/>
    <mergeCell ref="F231:G231"/>
    <mergeCell ref="F232:G232"/>
    <mergeCell ref="F221:G221"/>
    <mergeCell ref="F222:G222"/>
    <mergeCell ref="F223:G223"/>
    <mergeCell ref="F224:G224"/>
    <mergeCell ref="F225:G225"/>
    <mergeCell ref="F226:G226"/>
    <mergeCell ref="F215:G215"/>
    <mergeCell ref="F216:G216"/>
    <mergeCell ref="F217:G217"/>
    <mergeCell ref="F218:G218"/>
    <mergeCell ref="F219:G219"/>
    <mergeCell ref="F220:G220"/>
    <mergeCell ref="F209:G209"/>
    <mergeCell ref="F210:G210"/>
    <mergeCell ref="F211:G211"/>
    <mergeCell ref="F212:G212"/>
    <mergeCell ref="F213:G213"/>
    <mergeCell ref="F214:G214"/>
    <mergeCell ref="F203:G203"/>
    <mergeCell ref="F204:G204"/>
    <mergeCell ref="F205:G205"/>
    <mergeCell ref="F206:G206"/>
    <mergeCell ref="F207:G207"/>
    <mergeCell ref="F208:G208"/>
    <mergeCell ref="F197:G197"/>
    <mergeCell ref="F198:G198"/>
    <mergeCell ref="F199:G199"/>
    <mergeCell ref="F200:G200"/>
    <mergeCell ref="F201:G201"/>
    <mergeCell ref="F202:G202"/>
    <mergeCell ref="F191:G191"/>
    <mergeCell ref="F192:G192"/>
    <mergeCell ref="F193:G193"/>
    <mergeCell ref="F194:G194"/>
    <mergeCell ref="F195:G195"/>
    <mergeCell ref="F196:G196"/>
    <mergeCell ref="F185:G185"/>
    <mergeCell ref="F186:G186"/>
    <mergeCell ref="F187:G187"/>
    <mergeCell ref="F188:G188"/>
    <mergeCell ref="F189:G189"/>
    <mergeCell ref="F190:G190"/>
    <mergeCell ref="F179:G179"/>
    <mergeCell ref="F180:G180"/>
    <mergeCell ref="F181:G181"/>
    <mergeCell ref="F182:G182"/>
    <mergeCell ref="F183:G183"/>
    <mergeCell ref="F184:G184"/>
    <mergeCell ref="F173:G173"/>
    <mergeCell ref="F174:G174"/>
    <mergeCell ref="F175:G175"/>
    <mergeCell ref="F176:G176"/>
    <mergeCell ref="F177:G177"/>
    <mergeCell ref="F178:G178"/>
    <mergeCell ref="F167:G167"/>
    <mergeCell ref="F168:G168"/>
    <mergeCell ref="F169:G169"/>
    <mergeCell ref="F170:G170"/>
    <mergeCell ref="F171:G171"/>
    <mergeCell ref="F172:G172"/>
    <mergeCell ref="F161:G161"/>
    <mergeCell ref="F162:G162"/>
    <mergeCell ref="F163:G163"/>
    <mergeCell ref="F164:G164"/>
    <mergeCell ref="F165:G165"/>
    <mergeCell ref="F166:G166"/>
    <mergeCell ref="F155:G155"/>
    <mergeCell ref="F156:G156"/>
    <mergeCell ref="F157:G157"/>
    <mergeCell ref="F158:G158"/>
    <mergeCell ref="F159:G159"/>
    <mergeCell ref="F160:G160"/>
    <mergeCell ref="F149:G149"/>
    <mergeCell ref="F150:G150"/>
    <mergeCell ref="F151:G151"/>
    <mergeCell ref="F152:G152"/>
    <mergeCell ref="F153:G153"/>
    <mergeCell ref="F154:G154"/>
    <mergeCell ref="F143:G143"/>
    <mergeCell ref="F144:G144"/>
    <mergeCell ref="F145:G145"/>
    <mergeCell ref="F146:G146"/>
    <mergeCell ref="F147:G147"/>
    <mergeCell ref="F148:G148"/>
    <mergeCell ref="F137:G137"/>
    <mergeCell ref="F138:G138"/>
    <mergeCell ref="F139:G139"/>
    <mergeCell ref="F140:G140"/>
    <mergeCell ref="F141:G141"/>
    <mergeCell ref="F142:G142"/>
    <mergeCell ref="F131:G131"/>
    <mergeCell ref="F132:G132"/>
    <mergeCell ref="F133:G133"/>
    <mergeCell ref="F134:G134"/>
    <mergeCell ref="F135:G135"/>
    <mergeCell ref="F136:G136"/>
    <mergeCell ref="F125:G125"/>
    <mergeCell ref="F126:G126"/>
    <mergeCell ref="F127:G127"/>
    <mergeCell ref="F128:G128"/>
    <mergeCell ref="F129:G129"/>
    <mergeCell ref="F130:G130"/>
    <mergeCell ref="F119:G119"/>
    <mergeCell ref="F120:G120"/>
    <mergeCell ref="F121:G121"/>
    <mergeCell ref="F122:G122"/>
    <mergeCell ref="F123:G123"/>
    <mergeCell ref="F124:G124"/>
    <mergeCell ref="F113:G113"/>
    <mergeCell ref="F114:G114"/>
    <mergeCell ref="F115:G115"/>
    <mergeCell ref="F116:G116"/>
    <mergeCell ref="F117:G117"/>
    <mergeCell ref="F118:G118"/>
    <mergeCell ref="F107:G107"/>
    <mergeCell ref="F108:G108"/>
    <mergeCell ref="F109:G109"/>
    <mergeCell ref="F110:G110"/>
    <mergeCell ref="F111:G111"/>
    <mergeCell ref="F112:G112"/>
    <mergeCell ref="F101:G101"/>
    <mergeCell ref="F102:G102"/>
    <mergeCell ref="F103:G103"/>
    <mergeCell ref="F104:G104"/>
    <mergeCell ref="F105:G105"/>
    <mergeCell ref="F106:G106"/>
    <mergeCell ref="F95:G95"/>
    <mergeCell ref="F96:G96"/>
    <mergeCell ref="F97:G97"/>
    <mergeCell ref="F98:G98"/>
    <mergeCell ref="F99:G99"/>
    <mergeCell ref="F100:G100"/>
    <mergeCell ref="F89:G89"/>
    <mergeCell ref="F90:G90"/>
    <mergeCell ref="F91:G91"/>
    <mergeCell ref="F92:G92"/>
    <mergeCell ref="F93:G93"/>
    <mergeCell ref="F94:G94"/>
    <mergeCell ref="F83:G83"/>
    <mergeCell ref="F84:G84"/>
    <mergeCell ref="F85:G85"/>
    <mergeCell ref="F86:G86"/>
    <mergeCell ref="F87:G87"/>
    <mergeCell ref="F88:G88"/>
    <mergeCell ref="F77:G77"/>
    <mergeCell ref="F78:G78"/>
    <mergeCell ref="F79:G79"/>
    <mergeCell ref="F80:G80"/>
    <mergeCell ref="F81:G81"/>
    <mergeCell ref="F82:G82"/>
    <mergeCell ref="F71:G71"/>
    <mergeCell ref="F72:G72"/>
    <mergeCell ref="F73:G73"/>
    <mergeCell ref="F74:G74"/>
    <mergeCell ref="F75:G75"/>
    <mergeCell ref="F76:G76"/>
    <mergeCell ref="F65:G65"/>
    <mergeCell ref="F66:G66"/>
    <mergeCell ref="F67:G67"/>
    <mergeCell ref="F68:G68"/>
    <mergeCell ref="F69:G69"/>
    <mergeCell ref="F70:G70"/>
    <mergeCell ref="F59:G59"/>
    <mergeCell ref="F60:G60"/>
    <mergeCell ref="F61:G61"/>
    <mergeCell ref="F62:G62"/>
    <mergeCell ref="F63:G63"/>
    <mergeCell ref="F64:G64"/>
    <mergeCell ref="F53:G53"/>
    <mergeCell ref="F54:G54"/>
    <mergeCell ref="F55:G55"/>
    <mergeCell ref="F56:G56"/>
    <mergeCell ref="F57:G57"/>
    <mergeCell ref="F58:G58"/>
    <mergeCell ref="F47:G47"/>
    <mergeCell ref="F48:G48"/>
    <mergeCell ref="F49:G49"/>
    <mergeCell ref="F50:G50"/>
    <mergeCell ref="F51:G51"/>
    <mergeCell ref="F52:G52"/>
    <mergeCell ref="F41:G41"/>
    <mergeCell ref="F42:G42"/>
    <mergeCell ref="F43:G43"/>
    <mergeCell ref="F44:G44"/>
    <mergeCell ref="F45:G45"/>
    <mergeCell ref="F46:G46"/>
    <mergeCell ref="F35:G35"/>
    <mergeCell ref="F36:G36"/>
    <mergeCell ref="F37:G37"/>
    <mergeCell ref="F38:G38"/>
    <mergeCell ref="F39:G39"/>
    <mergeCell ref="F40:G40"/>
    <mergeCell ref="F29:G29"/>
    <mergeCell ref="F30:G30"/>
    <mergeCell ref="F31:G31"/>
    <mergeCell ref="F32:G32"/>
    <mergeCell ref="F33:G33"/>
    <mergeCell ref="F34:G34"/>
    <mergeCell ref="F23:G23"/>
    <mergeCell ref="F24:G24"/>
    <mergeCell ref="F25:G25"/>
    <mergeCell ref="F26:G26"/>
    <mergeCell ref="F27:G27"/>
    <mergeCell ref="F28:G28"/>
    <mergeCell ref="F17:G17"/>
    <mergeCell ref="F18:G18"/>
    <mergeCell ref="F19:G19"/>
    <mergeCell ref="F20:G20"/>
    <mergeCell ref="F21:G21"/>
    <mergeCell ref="F22:G22"/>
    <mergeCell ref="F11:G11"/>
    <mergeCell ref="F12:G12"/>
    <mergeCell ref="F13:G13"/>
    <mergeCell ref="F14:G14"/>
    <mergeCell ref="F15:G15"/>
    <mergeCell ref="F16:G16"/>
    <mergeCell ref="F5:G5"/>
    <mergeCell ref="F6:G6"/>
    <mergeCell ref="F7:G7"/>
    <mergeCell ref="F8:G8"/>
    <mergeCell ref="F9:G9"/>
    <mergeCell ref="F10:G10"/>
    <mergeCell ref="A1:E1"/>
    <mergeCell ref="F1:G1"/>
    <mergeCell ref="A3:A4"/>
    <mergeCell ref="B3:B4"/>
    <mergeCell ref="C3:C4"/>
    <mergeCell ref="D3:D4"/>
    <mergeCell ref="E3:E4"/>
    <mergeCell ref="F3:F4"/>
  </mergeCells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726413-31B1-4809-9C3E-7AD666D586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713股價</vt:lpstr>
      <vt:lpstr>56股價</vt:lpstr>
      <vt:lpstr>927股價</vt:lpstr>
      <vt:lpstr>919股價</vt:lpstr>
      <vt:lpstr>878股價</vt:lpstr>
      <vt:lpstr>687B股價</vt:lpstr>
      <vt:lpstr>50股價</vt:lpstr>
      <vt:lpstr>2330股價</vt:lpstr>
      <vt:lpstr>年度股利總表</vt:lpstr>
      <vt:lpstr>00878</vt:lpstr>
      <vt:lpstr>00927</vt:lpstr>
      <vt:lpstr>00919</vt:lpstr>
      <vt:lpstr>0056</vt:lpstr>
      <vt:lpstr>00713</vt:lpstr>
      <vt:lpstr>00687B美債</vt:lpstr>
      <vt:lpstr>0050</vt:lpstr>
      <vt:lpstr>2330台積電</vt:lpstr>
      <vt:lpstr>6285股價</vt:lpstr>
      <vt:lpstr>6285啟碁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Hank 蔡</dc:creator>
  <cp:lastModifiedBy>Hank 蔡</cp:lastModifiedBy>
  <dcterms:created xsi:type="dcterms:W3CDTF">2024-06-28T01:31:48Z</dcterms:created>
  <dcterms:modified xsi:type="dcterms:W3CDTF">2026-05-08T15:09:21Z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2024-06-28T03:47:40Z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16eab557-e544-485a-8065-10df365b3f6c</vt:lpwstr>
  </property>
  <property fmtid="{D5CDD505-2E9C-101B-9397-08002B2CF9AE}" pid="8" name="MSIP_Label_a15a25aa-e944-415d-b7a7-40f6b9180b6b_ContentBits">
    <vt:lpwstr>0</vt:lpwstr>
  </property>
</Properties>
</file>